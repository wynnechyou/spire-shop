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ynneChyou\Documents\Claude Code\Spire_Shop\"/>
    </mc:Choice>
  </mc:AlternateContent>
  <xr:revisionPtr revIDLastSave="0" documentId="13_ncr:1_{5397ADA2-666C-4C3D-AA0E-6DAEBA858040}" xr6:coauthVersionLast="47" xr6:coauthVersionMax="47" xr10:uidLastSave="{00000000-0000-0000-0000-000000000000}"/>
  <bookViews>
    <workbookView xWindow="-28920" yWindow="-120" windowWidth="29040" windowHeight="15720" xr2:uid="{3C55120D-9246-4D1B-9DF0-2B3B204DB898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1" i="1" l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</calcChain>
</file>

<file path=xl/sharedStrings.xml><?xml version="1.0" encoding="utf-8"?>
<sst xmlns="http://schemas.openxmlformats.org/spreadsheetml/2006/main" count="1015" uniqueCount="247">
  <si>
    <t>PurchaseCost_castle01 (int)</t>
  </si>
  <si>
    <t>PurchaseCost_castle02 (int)</t>
  </si>
  <si>
    <t>PurchaseCost_castle03 (int)</t>
  </si>
  <si>
    <t>PurchaseCost_castle04 (int)</t>
  </si>
  <si>
    <t>PurchaseCost_castle05 (int)</t>
  </si>
  <si>
    <t>PurchaseCost_castle06 (int)</t>
  </si>
  <si>
    <t>PurchaseCost_castle07 (int)</t>
  </si>
  <si>
    <t>PurchaseCost_castle08 (int)</t>
  </si>
  <si>
    <t>PurchaseCost_castle09 (int)</t>
  </si>
  <si>
    <t>PurchaseCost_castle10 (int)</t>
  </si>
  <si>
    <t>PurchaseCost_castle11 (int)</t>
  </si>
  <si>
    <t>PurchaseCost_castle12 (int)</t>
  </si>
  <si>
    <t>PurchaseCost_castle13 (int)</t>
  </si>
  <si>
    <t>PurchaseCost_castle14 (int)</t>
  </si>
  <si>
    <t>PurchaseCost_castle15 (int)</t>
  </si>
  <si>
    <t>PurchaseCost_castle16 (int)</t>
  </si>
  <si>
    <t>PurchaseCost_castle17 (int)</t>
  </si>
  <si>
    <t>PurchaseCost_castle18 (int)</t>
  </si>
  <si>
    <t>PurchaseCost_castle19 (int)</t>
  </si>
  <si>
    <t>PurchaseCost_castle20 (int)</t>
  </si>
  <si>
    <t>Category</t>
  </si>
  <si>
    <t>Item Name</t>
  </si>
  <si>
    <t>Level</t>
  </si>
  <si>
    <t>Amount</t>
  </si>
  <si>
    <t>Gems</t>
  </si>
  <si>
    <t>Amt / Gem</t>
  </si>
  <si>
    <t>Gem / Amt</t>
  </si>
  <si>
    <t>$USD</t>
  </si>
  <si>
    <t>Amt / $USD</t>
  </si>
  <si>
    <t>Currency</t>
  </si>
  <si>
    <t>Gold</t>
  </si>
  <si>
    <t>Gold Lv1</t>
  </si>
  <si>
    <t>Gold Lv2</t>
  </si>
  <si>
    <t>Gold Lv3</t>
  </si>
  <si>
    <t>Gold Lv4</t>
  </si>
  <si>
    <t>Gold Lv5</t>
  </si>
  <si>
    <t>Mana</t>
  </si>
  <si>
    <t>Mana Lv1</t>
  </si>
  <si>
    <t>Mana Lv2</t>
  </si>
  <si>
    <t>Mana Lv3</t>
  </si>
  <si>
    <t>Mana Lv4</t>
  </si>
  <si>
    <t>Mana Lv5</t>
  </si>
  <si>
    <t>Energy Lv1</t>
  </si>
  <si>
    <t>1 Energy</t>
  </si>
  <si>
    <t>Energy Lv2</t>
  </si>
  <si>
    <t>3 Energy</t>
  </si>
  <si>
    <t>Energy Lv3</t>
  </si>
  <si>
    <t>9 Energy</t>
  </si>
  <si>
    <t>Energy Lv4</t>
  </si>
  <si>
    <t>27 Energy</t>
  </si>
  <si>
    <t>Energy Lv5</t>
  </si>
  <si>
    <t>81 Energy</t>
  </si>
  <si>
    <t>Hero XP</t>
  </si>
  <si>
    <t>Hero XP Lv1</t>
  </si>
  <si>
    <t>3 XP</t>
  </si>
  <si>
    <t>Hero XP Lv2</t>
  </si>
  <si>
    <t>10 XP</t>
  </si>
  <si>
    <t>Hero XP Lv3</t>
  </si>
  <si>
    <t>35 XP</t>
  </si>
  <si>
    <t>Hero XP Lv4</t>
  </si>
  <si>
    <t>120 XP</t>
  </si>
  <si>
    <t>Hero XP Lv5</t>
  </si>
  <si>
    <t>385 XP</t>
  </si>
  <si>
    <t>Rune Dust</t>
  </si>
  <si>
    <t>Stamina</t>
  </si>
  <si>
    <t>T3 Egg</t>
  </si>
  <si>
    <t>T4 Egg</t>
  </si>
  <si>
    <t>Hero Shard</t>
  </si>
  <si>
    <t>Other</t>
  </si>
  <si>
    <t>Automator</t>
  </si>
  <si>
    <t>Hammer Crate</t>
  </si>
  <si>
    <t>Hammer Lv1</t>
  </si>
  <si>
    <t>Anvil Lv2</t>
  </si>
  <si>
    <t>Furnance Lv3</t>
  </si>
  <si>
    <t>Single Land Tile</t>
  </si>
  <si>
    <t>Coffee</t>
  </si>
  <si>
    <t>Profile Avatar</t>
  </si>
  <si>
    <t>Villagers</t>
  </si>
  <si>
    <t>Sorceress Tome</t>
  </si>
  <si>
    <t>Standard Villager</t>
  </si>
  <si>
    <t>Alchemist Tome</t>
  </si>
  <si>
    <t>Necromancer Tome</t>
  </si>
  <si>
    <t>Crystal Golem Tome</t>
  </si>
  <si>
    <t>Premium Villager (2x Energy)</t>
  </si>
  <si>
    <t>Banshee Tome</t>
  </si>
  <si>
    <t>Stack of Sorceress Tomes</t>
  </si>
  <si>
    <t>6x Tomes per Stack</t>
  </si>
  <si>
    <t>Stack of Alchemist Tomes</t>
  </si>
  <si>
    <t>Stack of Necromancer Tomes</t>
  </si>
  <si>
    <t>Stack of Crystal Golem Tomes</t>
  </si>
  <si>
    <t>Stack of Banshee Tomes</t>
  </si>
  <si>
    <t>Unstable Tomes</t>
  </si>
  <si>
    <t>Foundation Lv-1</t>
  </si>
  <si>
    <t>Foundation</t>
  </si>
  <si>
    <t>Wooden Structure Lv0</t>
  </si>
  <si>
    <t>Wooden Structure</t>
  </si>
  <si>
    <t>Shabby Shack Lv1</t>
  </si>
  <si>
    <t>Shabby Shack</t>
  </si>
  <si>
    <t>Homey Hut Lv2</t>
  </si>
  <si>
    <t>Homey Hut</t>
  </si>
  <si>
    <t>Cozy Cottage Lv3</t>
  </si>
  <si>
    <t>Cozy Cottage</t>
  </si>
  <si>
    <t>Decent Dwelling Lv4</t>
  </si>
  <si>
    <t>Decent Dwelling</t>
  </si>
  <si>
    <t>Charming Chambers Lv5</t>
  </si>
  <si>
    <t>Charming Chambers</t>
  </si>
  <si>
    <t>Huge Homestead Lv6</t>
  </si>
  <si>
    <t>Huge Homestead</t>
  </si>
  <si>
    <t>Runes</t>
  </si>
  <si>
    <t>2-Star Damage Rune</t>
  </si>
  <si>
    <t>Damage Rune</t>
  </si>
  <si>
    <t>3-Star Damage Rune</t>
  </si>
  <si>
    <t>4-Star Damage Rune</t>
  </si>
  <si>
    <t>5-Star Damage Rune</t>
  </si>
  <si>
    <t>2-Star Crit Rune</t>
  </si>
  <si>
    <t>Crit Rune</t>
  </si>
  <si>
    <t>3-Star Crit Rune</t>
  </si>
  <si>
    <t>4-Star Crit Rune</t>
  </si>
  <si>
    <t>5-Star Crit Rune</t>
  </si>
  <si>
    <t>2-Star Attack Speed Rune</t>
  </si>
  <si>
    <t>Attack Speed Rune</t>
  </si>
  <si>
    <t>3-Star Attack Speed Rune</t>
  </si>
  <si>
    <t>4-Star Attack Speed Rune</t>
  </si>
  <si>
    <t>5-Star Attack Speed Rune</t>
  </si>
  <si>
    <t>2-Star Range Rune</t>
  </si>
  <si>
    <t>Range Rune</t>
  </si>
  <si>
    <t>3-Star Range Rune</t>
  </si>
  <si>
    <t>4-Star Range Rune</t>
  </si>
  <si>
    <t>5-Star Range Rune</t>
  </si>
  <si>
    <t>1-Star Rune</t>
  </si>
  <si>
    <t>Rune</t>
  </si>
  <si>
    <t>2-Star Rune</t>
  </si>
  <si>
    <t>3-Star Rune</t>
  </si>
  <si>
    <t>4-Star Rune</t>
  </si>
  <si>
    <t>5-Star Rune</t>
  </si>
  <si>
    <t>Chests</t>
  </si>
  <si>
    <t>Tarnished Gem Chest Lv1</t>
  </si>
  <si>
    <t>Tarnished Gem Chest</t>
  </si>
  <si>
    <t>Gold, Mana, Gems (2x)</t>
  </si>
  <si>
    <t>Spiffy Gem Chest Lv2</t>
  </si>
  <si>
    <t>Spiffy Gem Chest</t>
  </si>
  <si>
    <t>Gold, Mana, Gems (8x)</t>
  </si>
  <si>
    <t>Rune Chest</t>
  </si>
  <si>
    <t>Tower Crate Lv1</t>
  </si>
  <si>
    <t>Small Raven Chest Lv1</t>
  </si>
  <si>
    <t>Small Raven Chest</t>
  </si>
  <si>
    <t>Silver Raven Chest Lv2</t>
  </si>
  <si>
    <t>Silver Raven Chest</t>
  </si>
  <si>
    <t>Gold Raven Chest Lv3</t>
  </si>
  <si>
    <t>Gold Raven Chest</t>
  </si>
  <si>
    <t>Ornate Raven Chest Lv4</t>
  </si>
  <si>
    <t>Ornate Raven Chest</t>
  </si>
  <si>
    <t>Epic Raven Chest Lv5</t>
  </si>
  <si>
    <t>Epic Raven Chest</t>
  </si>
  <si>
    <t>Basic_Towers</t>
  </si>
  <si>
    <t>Harvestables</t>
  </si>
  <si>
    <t>Spell Tower Generators</t>
  </si>
  <si>
    <t>Sawmill</t>
  </si>
  <si>
    <t>Bell Tower Generators</t>
  </si>
  <si>
    <t>Crystal Tower Generators</t>
  </si>
  <si>
    <t>Needle Tower Generators</t>
  </si>
  <si>
    <t>Void Tower Generators</t>
  </si>
  <si>
    <t>Skyshot Tower Generators</t>
  </si>
  <si>
    <t>Mana Spring</t>
  </si>
  <si>
    <t>OT_Harvestables</t>
  </si>
  <si>
    <t>Ash Seed Lv0</t>
  </si>
  <si>
    <t>Ash Seed</t>
  </si>
  <si>
    <t>Spell Tower OT Harvestable</t>
  </si>
  <si>
    <t>Bare Ash Tree Lv1</t>
  </si>
  <si>
    <t>Bare Ash Tree</t>
  </si>
  <si>
    <t>Leafy Ash Tree Lv2</t>
  </si>
  <si>
    <t>Leafy Ash Tree</t>
  </si>
  <si>
    <t>Lush Ash Tree Lv3</t>
  </si>
  <si>
    <t>Lush Ash Tree</t>
  </si>
  <si>
    <t>Radiant Ash Tree Lv4</t>
  </si>
  <si>
    <t>Radiant Ash Tree</t>
  </si>
  <si>
    <t>Lumber Camp Lv5</t>
  </si>
  <si>
    <t>Lumber Camp</t>
  </si>
  <si>
    <t>20x Magical Plank; 1x Handsaw</t>
  </si>
  <si>
    <t>Notable Seedling Lv0</t>
  </si>
  <si>
    <t>Notable Seedling</t>
  </si>
  <si>
    <t>Bell Tower OT Harvestable</t>
  </si>
  <si>
    <t>Bell Pepper Lv1</t>
  </si>
  <si>
    <t>Bell Pepper</t>
  </si>
  <si>
    <t>Bell Pepper Tree Lv2</t>
  </si>
  <si>
    <t>Bell Pepper Tree</t>
  </si>
  <si>
    <t>Elder Pepper Tree Lv3</t>
  </si>
  <si>
    <t>Elder Pepper Tree</t>
  </si>
  <si>
    <t>Elder Pepper Tree Lv4</t>
  </si>
  <si>
    <t>Elder Pepper Tree Lv5</t>
  </si>
  <si>
    <t>20x Bell; 1x Shrub Trimmers</t>
  </si>
  <si>
    <t>Empty Cauldron Lv1</t>
  </si>
  <si>
    <t>Empty Cauldron</t>
  </si>
  <si>
    <t>Crystal Tower OT Harvestable</t>
  </si>
  <si>
    <t>Apprentice's Cauldron Lv2</t>
  </si>
  <si>
    <t>Apprentice's Cauldron</t>
  </si>
  <si>
    <t>Adept's Cauldron Lv3</t>
  </si>
  <si>
    <t>Adept's Cauldron</t>
  </si>
  <si>
    <t>Crater Lv4</t>
  </si>
  <si>
    <t>Crater</t>
  </si>
  <si>
    <t>Fallen Star Lv5</t>
  </si>
  <si>
    <t>Fallen Star</t>
  </si>
  <si>
    <t>20x Amber Crystal; 1x Crystal Flower</t>
  </si>
  <si>
    <t>Raw Jade Lv1</t>
  </si>
  <si>
    <t>Raw Jade</t>
  </si>
  <si>
    <t>Needle Tower OT Harvestable</t>
  </si>
  <si>
    <t>Jade Harvest Lv2</t>
  </si>
  <si>
    <t>Jade Harvest</t>
  </si>
  <si>
    <t>Jade Cache Lv3</t>
  </si>
  <si>
    <t>Jade Cache</t>
  </si>
  <si>
    <t>Jade Ark Lv4</t>
  </si>
  <si>
    <t>Jade Ark</t>
  </si>
  <si>
    <t>Jade Temple Lv5</t>
  </si>
  <si>
    <t>Jade Temple</t>
  </si>
  <si>
    <t>20x Ouroboros Band; 1x Jewerly Box</t>
  </si>
  <si>
    <t>Necromantic Sketch Lv1</t>
  </si>
  <si>
    <t>Necromantic Sketch</t>
  </si>
  <si>
    <t>Void Tower OT Harvestable</t>
  </si>
  <si>
    <t>Bone Blueprint Lv2</t>
  </si>
  <si>
    <t>Bone Blueprint</t>
  </si>
  <si>
    <t>Spectral Scroll Lv3</t>
  </si>
  <si>
    <t>Spectral Scroll</t>
  </si>
  <si>
    <t>Rite of Reanimation Lv4</t>
  </si>
  <si>
    <t>Rite of Reanimation</t>
  </si>
  <si>
    <t>Grave Totem Lv5</t>
  </si>
  <si>
    <t>Grave Totem</t>
  </si>
  <si>
    <t>20x Ominous Ossuary; 1x Derelict Grave</t>
  </si>
  <si>
    <t>Swirling Nimbus Lv1</t>
  </si>
  <si>
    <t>Swirling Nimbus</t>
  </si>
  <si>
    <t>Skyshot Tower OT Harvestable</t>
  </si>
  <si>
    <t>Charged Cyclone Lv2</t>
  </si>
  <si>
    <t>Charged Cyclone</t>
  </si>
  <si>
    <t>Charged Cyclone Lv3</t>
  </si>
  <si>
    <t>Charged Cyclone Lv4</t>
  </si>
  <si>
    <t>Charged Cyclone Lv5</t>
  </si>
  <si>
    <t>20x Bottled Lightning; 1x Sparkly Lamb</t>
  </si>
  <si>
    <t>HedgeStatue</t>
  </si>
  <si>
    <t>CrystalFountain</t>
  </si>
  <si>
    <t>NeedleTowerHarvester</t>
  </si>
  <si>
    <t>VoidTowerHarvester</t>
  </si>
  <si>
    <t>SkyshotTowerHarvester</t>
  </si>
  <si>
    <t>Ballista</t>
  </si>
  <si>
    <t>DartTower</t>
  </si>
  <si>
    <t>SniperTower</t>
  </si>
  <si>
    <t>NeedleTower</t>
  </si>
  <si>
    <t>VoidTower</t>
  </si>
  <si>
    <t>SkyshotTower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</si>
</sst>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#,##0_)_%;\(#,##0\)_%;_(&quot;–&quot;_)_%;_(@_)_%"/>
    <numFmt numFmtId="165" formatCode="_(#,##0.0_)_%;\(#,##0.0\)_%;_(&quot;–&quot;_)_%;_(@_)_%"/>
    <numFmt numFmtId="166" formatCode="_(#,##0.00_)_%;\(#,##0.00\)_%;_(&quot;–&quot;_)_%;_(@_)_%"/>
    <numFmt numFmtId="167" formatCode="_([$$]#,##0.00_)_%;\([$$]#,##0.00\)_%;_(&quot;–&quot;_)_%;_(@_)_%"/>
    <numFmt numFmtId="168" formatCode="_([$$]#,##0.0_)_%;\([$$]#,##0.0\)_%;_(&quot;–&quot;_)_%;_(@_)_%"/>
    <numFmt numFmtId="169" formatCode="[$$-380A]\ #,##0.00;\-[$$-380A]\ #,##0.00"/>
  </numFmts>
  <fonts count="15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i/>
      <sz val="9"/>
      <color theme="1"/>
      <name val="calibri"/>
      <family val="2"/>
    </font>
    <font>
      <sz val="9"/>
      <color rgb="FF0000FF"/>
      <name val="calibri"/>
      <family val="2"/>
    </font>
    <font>
      <sz val="8"/>
      <color rgb="FFFFFFFF"/>
      <name val="Arial"/>
      <family val="2"/>
    </font>
    <font>
      <sz val="9"/>
      <color theme="0"/>
      <name val="calibri"/>
      <family val="2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rgb="FFC00000"/>
      <name val="calibri"/>
      <family val="2"/>
    </font>
    <font>
      <strike/>
      <sz val="9"/>
      <color theme="1"/>
      <name val="Calibri"/>
      <family val="2"/>
    </font>
    <font>
      <sz val="9"/>
      <name val="calibri"/>
      <family val="2"/>
    </font>
    <font>
      <b/>
      <sz val="9"/>
      <color rgb="FF0000FF"/>
      <name val="calibri"/>
      <family val="2"/>
    </font>
    <font>
      <i/>
      <sz val="9"/>
      <color theme="2" tint="-9.9978637043366805E-2"/>
      <name val="calibri"/>
      <family val="2"/>
    </font>
    <font>
      <b/>
      <sz val="9"/>
      <name val="calibri"/>
      <family val="2"/>
    </font>
    <font>
      <i/>
      <sz val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27BA0"/>
        <bgColor indexed="64"/>
      </patternFill>
    </fill>
    <fill>
      <patternFill patternType="solid">
        <fgColor rgb="FF741B4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5" fillId="6" borderId="2" xfId="0" applyFont="1" applyFill="1" applyBorder="1"/>
    <xf numFmtId="0" fontId="6" fillId="6" borderId="2" xfId="0" applyFont="1" applyFill="1" applyBorder="1"/>
    <xf numFmtId="164" fontId="5" fillId="7" borderId="3" xfId="0" applyNumberFormat="1" applyFont="1" applyFill="1" applyBorder="1" applyAlignment="1">
      <alignment horizontal="center"/>
    </xf>
    <xf numFmtId="164" fontId="5" fillId="7" borderId="2" xfId="0" applyNumberFormat="1" applyFont="1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left"/>
    </xf>
    <xf numFmtId="0" fontId="0" fillId="0" borderId="2" xfId="0" applyBorder="1"/>
    <xf numFmtId="0" fontId="0" fillId="2" borderId="3" xfId="0" applyFill="1" applyBorder="1"/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8" fillId="0" borderId="0" xfId="0" applyFont="1"/>
    <xf numFmtId="0" fontId="0" fillId="0" borderId="4" xfId="0" applyBorder="1"/>
    <xf numFmtId="0" fontId="9" fillId="0" borderId="4" xfId="0" applyFont="1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9" fillId="0" borderId="0" xfId="0" applyFont="1"/>
    <xf numFmtId="0" fontId="0" fillId="0" borderId="5" xfId="0" applyBorder="1"/>
    <xf numFmtId="0" fontId="0" fillId="2" borderId="5" xfId="0" applyFill="1" applyBorder="1"/>
    <xf numFmtId="0" fontId="0" fillId="2" borderId="5" xfId="0" applyFill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44" fontId="0" fillId="0" borderId="5" xfId="1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164" fontId="3" fillId="0" borderId="0" xfId="0" quotePrefix="1" applyNumberFormat="1" applyFont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1" fillId="0" borderId="0" xfId="0" applyNumberFormat="1" applyFont="1" applyAlignment="1">
      <alignment horizontal="center"/>
    </xf>
    <xf numFmtId="164" fontId="10" fillId="0" borderId="5" xfId="0" applyNumberFormat="1" applyFon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12" fillId="0" borderId="0" xfId="0" applyFont="1" applyAlignment="1">
      <alignment horizontal="left"/>
    </xf>
    <xf numFmtId="164" fontId="11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8" fontId="0" fillId="0" borderId="2" xfId="0" applyNumberFormat="1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164" fontId="13" fillId="0" borderId="5" xfId="0" applyNumberFormat="1" applyFont="1" applyBorder="1" applyAlignment="1">
      <alignment horizontal="center"/>
    </xf>
    <xf numFmtId="164" fontId="13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0" fillId="8" borderId="0" xfId="0" applyFill="1"/>
    <xf numFmtId="0" fontId="0" fillId="8" borderId="5" xfId="0" applyFill="1" applyBorder="1"/>
    <xf numFmtId="169" fontId="0" fillId="0" borderId="0" xfId="0" applyNumberFormat="1" applyAlignment="1">
      <alignment horizontal="center"/>
    </xf>
  </cellXfs>
  <cellStyles count="2">
    <cellStyle name="Currency" xfId="1" builtinId="4"/>
    <cellStyle name="Normal" xfId="0" builtinId="0"/>
  </cellStyles>
  <dxfs count="8">
    <dxf>
      <fill>
        <patternFill>
          <bgColor theme="3" tint="0.89996032593768116"/>
        </patternFill>
      </fill>
    </dxf>
    <dxf>
      <fill>
        <patternFill>
          <bgColor rgb="FFFFF099"/>
        </patternFill>
      </fill>
    </dxf>
    <dxf>
      <fill>
        <patternFill>
          <bgColor rgb="FFDBF5E4"/>
        </patternFill>
      </fill>
    </dxf>
    <dxf>
      <fill>
        <patternFill>
          <bgColor rgb="FFF2F8E4"/>
        </patternFill>
      </fill>
    </dxf>
    <dxf>
      <fill>
        <patternFill>
          <bgColor rgb="FFFCE9E0"/>
        </patternFill>
      </fill>
    </dxf>
    <dxf>
      <fill>
        <patternFill>
          <bgColor rgb="FFF2E4F8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A8B5D-8CF2-4356-9737-06AA695456A0}">
  <dimension ref="B1:AG532"/>
  <sheetViews>
    <sheetView tabSelected="1" workbookViewId="0">
      <pane xSplit="5" ySplit="3" topLeftCell="L79" activePane="bottomRight" state="frozen"/>
      <selection pane="topRight" activeCell="F1" sqref="F1"/>
      <selection pane="bottomLeft" activeCell="A4" sqref="A4"/>
      <selection pane="bottomRight" activeCell="X91" sqref="X91"/>
    </sheetView>
  </sheetViews>
  <sheetFormatPr defaultRowHeight="12.75" outlineLevelRow="1" outlineLevelCol="1" x14ac:dyDescent="0.2"/>
  <cols>
    <col min="2" max="2" width="14.140625" bestFit="1" customWidth="1"/>
    <col min="3" max="3" width="23.7109375" customWidth="1"/>
    <col min="4" max="4" width="18" style="1" hidden="1" customWidth="1" outlineLevel="1"/>
    <col min="5" max="5" width="5" style="2" hidden="1" customWidth="1" outlineLevel="1"/>
    <col min="6" max="6" width="9.140625" style="3" collapsed="1"/>
    <col min="7" max="7" width="11.42578125" style="3" customWidth="1"/>
    <col min="8" max="8" width="11.42578125" style="3" customWidth="1" outlineLevel="1"/>
    <col min="9" max="9" width="12.5703125" style="3" customWidth="1"/>
    <col min="10" max="10" width="10.85546875" style="3" customWidth="1"/>
    <col min="11" max="11" width="9.5703125" style="3" bestFit="1" customWidth="1"/>
    <col min="12" max="12" width="17" style="5" customWidth="1"/>
    <col min="13" max="13" width="14.28515625" customWidth="1"/>
  </cols>
  <sheetData>
    <row r="1" spans="2:33" ht="13.5" thickBot="1" x14ac:dyDescent="0.25">
      <c r="J1" s="4"/>
    </row>
    <row r="2" spans="2:33" ht="34.5" thickBot="1" x14ac:dyDescent="0.25">
      <c r="J2" s="6">
        <v>32</v>
      </c>
      <c r="N2" s="7" t="s">
        <v>0</v>
      </c>
      <c r="O2" s="8" t="s">
        <v>1</v>
      </c>
      <c r="P2" s="8" t="s">
        <v>2</v>
      </c>
      <c r="Q2" s="8" t="s">
        <v>3</v>
      </c>
      <c r="R2" s="8" t="s">
        <v>4</v>
      </c>
      <c r="S2" s="8" t="s">
        <v>5</v>
      </c>
      <c r="T2" s="8" t="s">
        <v>6</v>
      </c>
      <c r="U2" s="8" t="s">
        <v>7</v>
      </c>
      <c r="V2" s="8" t="s">
        <v>8</v>
      </c>
      <c r="W2" s="8" t="s">
        <v>9</v>
      </c>
      <c r="X2" s="8" t="s">
        <v>10</v>
      </c>
      <c r="Y2" s="8" t="s">
        <v>11</v>
      </c>
      <c r="Z2" s="8" t="s">
        <v>12</v>
      </c>
      <c r="AA2" s="8" t="s">
        <v>13</v>
      </c>
      <c r="AB2" s="8" t="s">
        <v>14</v>
      </c>
      <c r="AC2" s="8" t="s">
        <v>15</v>
      </c>
      <c r="AD2" s="8" t="s">
        <v>16</v>
      </c>
      <c r="AE2" s="8" t="s">
        <v>17</v>
      </c>
      <c r="AF2" s="8" t="s">
        <v>18</v>
      </c>
      <c r="AG2" s="8" t="s">
        <v>19</v>
      </c>
    </row>
    <row r="3" spans="2:33" s="16" customFormat="1" x14ac:dyDescent="0.2">
      <c r="B3" s="9" t="s">
        <v>20</v>
      </c>
      <c r="C3" s="10" t="s">
        <v>21</v>
      </c>
      <c r="D3" s="11"/>
      <c r="E3" s="12" t="s">
        <v>22</v>
      </c>
      <c r="F3" s="13" t="s">
        <v>23</v>
      </c>
      <c r="G3" s="13" t="s">
        <v>24</v>
      </c>
      <c r="H3" s="13" t="s">
        <v>25</v>
      </c>
      <c r="I3" s="13" t="s">
        <v>26</v>
      </c>
      <c r="J3" s="14" t="s">
        <v>27</v>
      </c>
      <c r="K3" s="14" t="s">
        <v>28</v>
      </c>
      <c r="L3" s="15"/>
      <c r="M3" s="9"/>
      <c r="N3">
        <v>1</v>
      </c>
      <c r="O3">
        <v>2</v>
      </c>
      <c r="P3">
        <v>3</v>
      </c>
      <c r="Q3">
        <v>4</v>
      </c>
      <c r="R3">
        <v>5</v>
      </c>
      <c r="S3">
        <v>6</v>
      </c>
      <c r="T3">
        <v>7</v>
      </c>
      <c r="U3">
        <v>8</v>
      </c>
      <c r="V3">
        <v>9</v>
      </c>
      <c r="W3">
        <v>10</v>
      </c>
      <c r="X3">
        <v>11</v>
      </c>
      <c r="Y3">
        <v>12</v>
      </c>
      <c r="Z3">
        <v>13</v>
      </c>
      <c r="AA3">
        <v>14</v>
      </c>
      <c r="AB3">
        <v>15</v>
      </c>
      <c r="AC3">
        <v>16</v>
      </c>
      <c r="AD3">
        <v>17</v>
      </c>
      <c r="AE3">
        <v>18</v>
      </c>
      <c r="AF3">
        <v>19</v>
      </c>
      <c r="AG3">
        <v>20</v>
      </c>
    </row>
    <row r="4" spans="2:33" x14ac:dyDescent="0.2">
      <c r="B4" t="s">
        <v>29</v>
      </c>
      <c r="C4" t="s">
        <v>24</v>
      </c>
      <c r="D4" s="17"/>
      <c r="F4" s="18">
        <v>160</v>
      </c>
      <c r="G4" s="18">
        <v>160</v>
      </c>
      <c r="H4" s="19">
        <v>1</v>
      </c>
      <c r="I4" s="20">
        <v>1</v>
      </c>
      <c r="J4" s="21">
        <v>5</v>
      </c>
      <c r="K4" s="22">
        <v>32</v>
      </c>
    </row>
    <row r="5" spans="2:33" x14ac:dyDescent="0.2">
      <c r="B5" t="s">
        <v>29</v>
      </c>
      <c r="C5" t="s">
        <v>30</v>
      </c>
      <c r="F5" s="18">
        <v>1000</v>
      </c>
      <c r="G5" s="18">
        <v>133</v>
      </c>
      <c r="H5" s="19">
        <v>7.518796992481203</v>
      </c>
      <c r="I5" s="20">
        <v>0.13300000000000001</v>
      </c>
      <c r="J5" s="21">
        <v>4.15625</v>
      </c>
      <c r="K5" s="22">
        <v>240.6015037593985</v>
      </c>
    </row>
    <row r="6" spans="2:33" x14ac:dyDescent="0.2">
      <c r="B6" t="s">
        <v>29</v>
      </c>
      <c r="C6" t="s">
        <v>31</v>
      </c>
      <c r="D6" s="1">
        <v>1</v>
      </c>
      <c r="E6" s="2">
        <v>1</v>
      </c>
      <c r="F6" s="18">
        <v>1</v>
      </c>
      <c r="G6" s="18">
        <v>1</v>
      </c>
      <c r="H6" s="19">
        <v>1</v>
      </c>
      <c r="I6" s="20">
        <v>1</v>
      </c>
      <c r="J6" s="21">
        <v>3.125E-2</v>
      </c>
      <c r="K6" s="22">
        <v>32</v>
      </c>
    </row>
    <row r="7" spans="2:33" x14ac:dyDescent="0.2">
      <c r="B7" t="s">
        <v>29</v>
      </c>
      <c r="C7" t="s">
        <v>32</v>
      </c>
      <c r="D7" s="1">
        <v>4</v>
      </c>
      <c r="E7" s="2">
        <v>2</v>
      </c>
      <c r="F7" s="18">
        <v>1</v>
      </c>
      <c r="G7" s="18">
        <v>1</v>
      </c>
      <c r="H7" s="19">
        <v>1</v>
      </c>
      <c r="I7" s="20">
        <v>1</v>
      </c>
      <c r="J7" s="21">
        <v>3.125E-2</v>
      </c>
      <c r="K7" s="22">
        <v>32</v>
      </c>
    </row>
    <row r="8" spans="2:33" x14ac:dyDescent="0.2">
      <c r="B8" t="s">
        <v>29</v>
      </c>
      <c r="C8" t="s">
        <v>33</v>
      </c>
      <c r="D8" s="1">
        <v>15</v>
      </c>
      <c r="E8" s="2">
        <v>3</v>
      </c>
      <c r="F8" s="18">
        <v>1</v>
      </c>
      <c r="G8" s="18">
        <v>3</v>
      </c>
      <c r="H8" s="19">
        <v>0.33333333333333331</v>
      </c>
      <c r="I8" s="20">
        <v>3</v>
      </c>
      <c r="J8" s="21">
        <v>9.375E-2</v>
      </c>
      <c r="K8" s="22">
        <v>10.666666666666666</v>
      </c>
    </row>
    <row r="9" spans="2:33" x14ac:dyDescent="0.2">
      <c r="B9" t="s">
        <v>29</v>
      </c>
      <c r="C9" t="s">
        <v>34</v>
      </c>
      <c r="D9" s="1">
        <v>50</v>
      </c>
      <c r="E9" s="2">
        <v>4</v>
      </c>
      <c r="F9" s="18">
        <v>1</v>
      </c>
      <c r="G9" s="18">
        <v>7</v>
      </c>
      <c r="H9" s="19">
        <v>0.14285714285714285</v>
      </c>
      <c r="I9" s="20">
        <v>7</v>
      </c>
      <c r="J9" s="21">
        <v>0.21875</v>
      </c>
      <c r="K9" s="22">
        <v>4.5714285714285712</v>
      </c>
    </row>
    <row r="10" spans="2:33" x14ac:dyDescent="0.2">
      <c r="B10" t="s">
        <v>29</v>
      </c>
      <c r="C10" t="s">
        <v>35</v>
      </c>
      <c r="D10" s="1">
        <v>165</v>
      </c>
      <c r="E10" s="2">
        <v>5</v>
      </c>
      <c r="F10" s="18">
        <v>1</v>
      </c>
      <c r="G10" s="18">
        <v>18</v>
      </c>
      <c r="H10" s="19">
        <v>5.5555555555555552E-2</v>
      </c>
      <c r="I10" s="20">
        <v>18</v>
      </c>
      <c r="J10" s="21">
        <v>0.5625</v>
      </c>
      <c r="K10" s="22">
        <v>1.7777777777777777</v>
      </c>
    </row>
    <row r="11" spans="2:33" x14ac:dyDescent="0.2">
      <c r="B11" t="s">
        <v>29</v>
      </c>
      <c r="C11" t="s">
        <v>36</v>
      </c>
      <c r="F11" s="18">
        <v>330</v>
      </c>
      <c r="G11" s="18">
        <v>120</v>
      </c>
      <c r="H11" s="19">
        <v>2.75</v>
      </c>
      <c r="I11" s="20">
        <v>0.36363636363636365</v>
      </c>
      <c r="J11" s="21">
        <v>3.75</v>
      </c>
      <c r="K11" s="22">
        <v>88</v>
      </c>
    </row>
    <row r="12" spans="2:33" x14ac:dyDescent="0.2">
      <c r="B12" t="s">
        <v>29</v>
      </c>
      <c r="C12" t="s">
        <v>37</v>
      </c>
      <c r="D12" s="1">
        <v>2</v>
      </c>
      <c r="E12" s="2">
        <v>1</v>
      </c>
      <c r="F12" s="18">
        <v>1</v>
      </c>
      <c r="G12" s="18">
        <v>1</v>
      </c>
      <c r="H12" s="19">
        <v>1</v>
      </c>
      <c r="I12" s="20">
        <v>1</v>
      </c>
      <c r="J12" s="21">
        <v>3.125E-2</v>
      </c>
      <c r="K12" s="22">
        <v>32</v>
      </c>
    </row>
    <row r="13" spans="2:33" x14ac:dyDescent="0.2">
      <c r="B13" t="s">
        <v>29</v>
      </c>
      <c r="C13" t="s">
        <v>38</v>
      </c>
      <c r="D13" s="1">
        <v>7</v>
      </c>
      <c r="E13" s="2">
        <v>2</v>
      </c>
      <c r="F13" s="18">
        <v>1</v>
      </c>
      <c r="G13" s="18">
        <v>3</v>
      </c>
      <c r="H13" s="19">
        <v>0.33333333333333331</v>
      </c>
      <c r="I13" s="20">
        <v>3</v>
      </c>
      <c r="J13" s="21">
        <v>9.375E-2</v>
      </c>
      <c r="K13" s="22">
        <v>10.666666666666666</v>
      </c>
    </row>
    <row r="14" spans="2:33" x14ac:dyDescent="0.2">
      <c r="B14" t="s">
        <v>29</v>
      </c>
      <c r="C14" t="s">
        <v>39</v>
      </c>
      <c r="D14" s="1">
        <v>22</v>
      </c>
      <c r="E14" s="2">
        <v>3</v>
      </c>
      <c r="F14" s="18">
        <v>1</v>
      </c>
      <c r="G14" s="18">
        <v>7</v>
      </c>
      <c r="H14" s="19">
        <v>0.14285714285714285</v>
      </c>
      <c r="I14" s="20">
        <v>7</v>
      </c>
      <c r="J14" s="21">
        <v>0.21875</v>
      </c>
      <c r="K14" s="22">
        <v>4.5714285714285712</v>
      </c>
    </row>
    <row r="15" spans="2:33" x14ac:dyDescent="0.2">
      <c r="B15" t="s">
        <v>29</v>
      </c>
      <c r="C15" t="s">
        <v>40</v>
      </c>
      <c r="D15" s="1">
        <v>70</v>
      </c>
      <c r="E15" s="2">
        <v>4</v>
      </c>
      <c r="F15" s="18">
        <v>1</v>
      </c>
      <c r="G15" s="18">
        <v>18</v>
      </c>
      <c r="H15" s="19">
        <v>5.5555555555555552E-2</v>
      </c>
      <c r="I15" s="20">
        <v>18</v>
      </c>
      <c r="J15" s="21">
        <v>0.5625</v>
      </c>
      <c r="K15" s="22">
        <v>1.7777777777777777</v>
      </c>
    </row>
    <row r="16" spans="2:33" x14ac:dyDescent="0.2">
      <c r="B16" t="s">
        <v>29</v>
      </c>
      <c r="C16" t="s">
        <v>41</v>
      </c>
      <c r="D16" s="1">
        <v>215</v>
      </c>
      <c r="E16" s="2">
        <v>5</v>
      </c>
      <c r="F16" s="18">
        <v>1</v>
      </c>
      <c r="G16" s="18">
        <v>49</v>
      </c>
      <c r="H16" s="19">
        <v>2.0408163265306121E-2</v>
      </c>
      <c r="I16" s="20">
        <v>49</v>
      </c>
      <c r="J16" s="21">
        <v>1.53125</v>
      </c>
      <c r="K16" s="22">
        <v>0.65306122448979587</v>
      </c>
    </row>
    <row r="17" spans="2:12" x14ac:dyDescent="0.2">
      <c r="B17" t="s">
        <v>29</v>
      </c>
      <c r="C17" t="s">
        <v>42</v>
      </c>
      <c r="F17" s="18">
        <v>1</v>
      </c>
      <c r="G17" s="18">
        <v>1</v>
      </c>
      <c r="H17" s="19">
        <v>1</v>
      </c>
      <c r="I17" s="20">
        <v>1</v>
      </c>
      <c r="J17" s="21">
        <v>3.125E-2</v>
      </c>
      <c r="K17" s="22">
        <v>32</v>
      </c>
      <c r="L17" s="5" t="s">
        <v>43</v>
      </c>
    </row>
    <row r="18" spans="2:12" x14ac:dyDescent="0.2">
      <c r="B18" t="s">
        <v>29</v>
      </c>
      <c r="C18" t="s">
        <v>44</v>
      </c>
      <c r="F18" s="18">
        <v>1</v>
      </c>
      <c r="G18" s="18">
        <v>3</v>
      </c>
      <c r="H18" s="19">
        <v>0.33333333333333331</v>
      </c>
      <c r="I18" s="20">
        <v>3</v>
      </c>
      <c r="J18" s="21">
        <v>9.375E-2</v>
      </c>
      <c r="K18" s="22">
        <v>10.666666666666666</v>
      </c>
      <c r="L18" s="5" t="s">
        <v>45</v>
      </c>
    </row>
    <row r="19" spans="2:12" x14ac:dyDescent="0.2">
      <c r="B19" t="s">
        <v>29</v>
      </c>
      <c r="C19" t="s">
        <v>46</v>
      </c>
      <c r="F19" s="18">
        <v>1</v>
      </c>
      <c r="G19" s="18">
        <v>7</v>
      </c>
      <c r="H19" s="19">
        <v>0.14285714285714285</v>
      </c>
      <c r="I19" s="20">
        <v>7</v>
      </c>
      <c r="J19" s="21">
        <v>0.21875</v>
      </c>
      <c r="K19" s="22">
        <v>4.5714285714285712</v>
      </c>
      <c r="L19" s="5" t="s">
        <v>47</v>
      </c>
    </row>
    <row r="20" spans="2:12" x14ac:dyDescent="0.2">
      <c r="B20" t="s">
        <v>29</v>
      </c>
      <c r="C20" t="s">
        <v>48</v>
      </c>
      <c r="F20" s="18">
        <v>1</v>
      </c>
      <c r="G20" s="18">
        <v>18</v>
      </c>
      <c r="H20" s="19">
        <v>5.5555555555555552E-2</v>
      </c>
      <c r="I20" s="20">
        <v>18</v>
      </c>
      <c r="J20" s="21">
        <v>0.5625</v>
      </c>
      <c r="K20" s="22">
        <v>1.7777777777777777</v>
      </c>
      <c r="L20" s="5" t="s">
        <v>49</v>
      </c>
    </row>
    <row r="21" spans="2:12" x14ac:dyDescent="0.2">
      <c r="B21" t="s">
        <v>29</v>
      </c>
      <c r="C21" t="s">
        <v>50</v>
      </c>
      <c r="F21" s="18">
        <v>1</v>
      </c>
      <c r="G21" s="18">
        <v>49</v>
      </c>
      <c r="H21" s="19">
        <v>2.0408163265306121E-2</v>
      </c>
      <c r="I21" s="20">
        <v>49</v>
      </c>
      <c r="J21" s="21">
        <v>1.53125</v>
      </c>
      <c r="K21" s="22">
        <v>0.65306122448979587</v>
      </c>
      <c r="L21" s="5" t="s">
        <v>51</v>
      </c>
    </row>
    <row r="22" spans="2:12" x14ac:dyDescent="0.2">
      <c r="B22" t="s">
        <v>29</v>
      </c>
      <c r="C22" t="s">
        <v>52</v>
      </c>
      <c r="F22" s="18">
        <v>385</v>
      </c>
      <c r="G22" s="18">
        <v>155</v>
      </c>
      <c r="H22" s="19">
        <v>2.4838709677419355</v>
      </c>
      <c r="I22" s="20">
        <v>0.40259740259740262</v>
      </c>
      <c r="J22" s="21">
        <v>4.84375</v>
      </c>
      <c r="K22" s="22">
        <v>79.483870967741936</v>
      </c>
    </row>
    <row r="23" spans="2:12" x14ac:dyDescent="0.2">
      <c r="B23" t="s">
        <v>29</v>
      </c>
      <c r="C23" t="s">
        <v>53</v>
      </c>
      <c r="D23" s="1">
        <v>3</v>
      </c>
      <c r="E23" s="2">
        <v>1</v>
      </c>
      <c r="F23" s="18">
        <v>1</v>
      </c>
      <c r="G23" s="18">
        <v>2</v>
      </c>
      <c r="H23" s="19">
        <v>0.5</v>
      </c>
      <c r="I23" s="20">
        <v>2</v>
      </c>
      <c r="J23" s="21">
        <v>6.25E-2</v>
      </c>
      <c r="K23" s="22">
        <v>16</v>
      </c>
      <c r="L23" s="5" t="s">
        <v>54</v>
      </c>
    </row>
    <row r="24" spans="2:12" x14ac:dyDescent="0.2">
      <c r="B24" t="s">
        <v>29</v>
      </c>
      <c r="C24" t="s">
        <v>55</v>
      </c>
      <c r="D24" s="1">
        <v>10</v>
      </c>
      <c r="E24" s="2">
        <v>2</v>
      </c>
      <c r="F24" s="18">
        <v>1</v>
      </c>
      <c r="G24" s="18">
        <v>5</v>
      </c>
      <c r="H24" s="19">
        <v>0.2</v>
      </c>
      <c r="I24" s="20">
        <v>5</v>
      </c>
      <c r="J24" s="21">
        <v>0.15625</v>
      </c>
      <c r="K24" s="22">
        <v>6.4</v>
      </c>
      <c r="L24" s="5" t="s">
        <v>56</v>
      </c>
    </row>
    <row r="25" spans="2:12" x14ac:dyDescent="0.2">
      <c r="B25" t="s">
        <v>29</v>
      </c>
      <c r="C25" t="s">
        <v>57</v>
      </c>
      <c r="D25" s="1">
        <v>35</v>
      </c>
      <c r="E25" s="2">
        <v>3</v>
      </c>
      <c r="F25" s="18">
        <v>1</v>
      </c>
      <c r="G25" s="18">
        <v>16</v>
      </c>
      <c r="H25" s="19">
        <v>6.25E-2</v>
      </c>
      <c r="I25" s="20">
        <v>16</v>
      </c>
      <c r="J25" s="21">
        <v>0.5</v>
      </c>
      <c r="K25" s="22">
        <v>2</v>
      </c>
      <c r="L25" s="5" t="s">
        <v>58</v>
      </c>
    </row>
    <row r="26" spans="2:12" x14ac:dyDescent="0.2">
      <c r="B26" t="s">
        <v>29</v>
      </c>
      <c r="C26" t="s">
        <v>59</v>
      </c>
      <c r="D26" s="1">
        <v>120</v>
      </c>
      <c r="E26" s="2">
        <v>4</v>
      </c>
      <c r="F26" s="18">
        <v>1</v>
      </c>
      <c r="G26" s="18">
        <v>50</v>
      </c>
      <c r="H26" s="19">
        <v>0.02</v>
      </c>
      <c r="I26" s="20">
        <v>50</v>
      </c>
      <c r="J26" s="21">
        <v>1.5625</v>
      </c>
      <c r="K26" s="22">
        <v>0.64</v>
      </c>
      <c r="L26" s="5" t="s">
        <v>60</v>
      </c>
    </row>
    <row r="27" spans="2:12" x14ac:dyDescent="0.2">
      <c r="B27" t="s">
        <v>29</v>
      </c>
      <c r="C27" t="s">
        <v>61</v>
      </c>
      <c r="D27" s="1">
        <v>385</v>
      </c>
      <c r="E27" s="2">
        <v>5</v>
      </c>
      <c r="F27" s="18">
        <v>1</v>
      </c>
      <c r="G27" s="18">
        <v>155</v>
      </c>
      <c r="H27" s="19">
        <v>6.4516129032258064E-3</v>
      </c>
      <c r="I27" s="20">
        <v>155</v>
      </c>
      <c r="J27" s="21">
        <v>4.84375</v>
      </c>
      <c r="K27" s="22">
        <v>0.20645161290322581</v>
      </c>
      <c r="L27" s="5" t="s">
        <v>62</v>
      </c>
    </row>
    <row r="28" spans="2:12" x14ac:dyDescent="0.2">
      <c r="B28" t="s">
        <v>29</v>
      </c>
      <c r="C28" t="s">
        <v>63</v>
      </c>
      <c r="F28" s="18">
        <v>100</v>
      </c>
      <c r="G28" s="23">
        <v>13</v>
      </c>
      <c r="H28" s="19">
        <v>7.6923076923076925</v>
      </c>
      <c r="I28" s="20">
        <v>0.13</v>
      </c>
      <c r="J28" s="21">
        <v>0.40625</v>
      </c>
      <c r="K28" s="22">
        <v>246.15384615384616</v>
      </c>
    </row>
    <row r="29" spans="2:12" x14ac:dyDescent="0.2">
      <c r="B29" t="s">
        <v>29</v>
      </c>
      <c r="C29" t="s">
        <v>64</v>
      </c>
      <c r="F29" s="18">
        <v>50</v>
      </c>
      <c r="G29" s="18">
        <v>80</v>
      </c>
      <c r="H29" s="19">
        <v>0.625</v>
      </c>
      <c r="I29" s="20">
        <v>1.6</v>
      </c>
      <c r="J29" s="24">
        <v>2.5</v>
      </c>
      <c r="K29" s="22">
        <v>20</v>
      </c>
    </row>
    <row r="30" spans="2:12" x14ac:dyDescent="0.2">
      <c r="B30" t="s">
        <v>29</v>
      </c>
      <c r="C30" t="s">
        <v>65</v>
      </c>
      <c r="F30" s="18">
        <v>1</v>
      </c>
      <c r="G30" s="18">
        <v>14</v>
      </c>
      <c r="H30" s="19"/>
      <c r="I30" s="20">
        <v>14</v>
      </c>
      <c r="J30" s="24">
        <v>0.4375</v>
      </c>
      <c r="K30" s="22">
        <v>2.2857142857142856</v>
      </c>
    </row>
    <row r="31" spans="2:12" x14ac:dyDescent="0.2">
      <c r="B31" t="s">
        <v>29</v>
      </c>
      <c r="C31" t="s">
        <v>66</v>
      </c>
      <c r="F31" s="18">
        <v>1</v>
      </c>
      <c r="G31" s="18">
        <v>36</v>
      </c>
      <c r="H31" s="19"/>
      <c r="I31" s="20">
        <v>36</v>
      </c>
      <c r="J31" s="24">
        <v>1.125</v>
      </c>
      <c r="K31" s="22">
        <v>0.88888888888888884</v>
      </c>
    </row>
    <row r="32" spans="2:12" x14ac:dyDescent="0.2">
      <c r="B32" t="s">
        <v>29</v>
      </c>
      <c r="C32" t="s">
        <v>67</v>
      </c>
      <c r="F32" s="18">
        <v>1</v>
      </c>
      <c r="G32" s="18">
        <v>36</v>
      </c>
      <c r="H32" s="19"/>
      <c r="I32" s="20">
        <v>36</v>
      </c>
      <c r="J32" s="24">
        <v>1.125</v>
      </c>
      <c r="K32" s="22">
        <v>0.88888888888888884</v>
      </c>
    </row>
    <row r="33" spans="2:12" x14ac:dyDescent="0.2">
      <c r="B33" t="s">
        <v>68</v>
      </c>
      <c r="C33" t="s">
        <v>69</v>
      </c>
      <c r="F33" s="18">
        <v>1</v>
      </c>
      <c r="G33" s="18">
        <v>280</v>
      </c>
      <c r="H33" s="19"/>
      <c r="I33" s="20">
        <v>280</v>
      </c>
      <c r="J33" s="24">
        <v>8.75</v>
      </c>
      <c r="K33" s="22">
        <v>0.11428571428571428</v>
      </c>
    </row>
    <row r="34" spans="2:12" x14ac:dyDescent="0.2">
      <c r="B34" t="s">
        <v>68</v>
      </c>
      <c r="C34" t="s">
        <v>70</v>
      </c>
      <c r="F34" s="18">
        <v>1</v>
      </c>
      <c r="G34" s="18">
        <v>169</v>
      </c>
      <c r="H34" s="19"/>
      <c r="I34" s="20">
        <v>169</v>
      </c>
      <c r="J34" s="24">
        <v>5.28125</v>
      </c>
      <c r="K34" s="22">
        <v>0.1893491124260355</v>
      </c>
    </row>
    <row r="35" spans="2:12" x14ac:dyDescent="0.2">
      <c r="B35" t="s">
        <v>68</v>
      </c>
      <c r="C35" t="s">
        <v>71</v>
      </c>
      <c r="F35" s="18">
        <v>1</v>
      </c>
      <c r="G35" s="18">
        <v>18</v>
      </c>
      <c r="H35" s="19"/>
      <c r="I35" s="20">
        <v>18</v>
      </c>
      <c r="J35" s="24">
        <v>0.5625</v>
      </c>
      <c r="K35" s="22">
        <v>1.7777777777777777</v>
      </c>
    </row>
    <row r="36" spans="2:12" x14ac:dyDescent="0.2">
      <c r="B36" t="s">
        <v>68</v>
      </c>
      <c r="C36" t="s">
        <v>72</v>
      </c>
      <c r="F36" s="18">
        <v>1</v>
      </c>
      <c r="G36" s="18">
        <v>45</v>
      </c>
      <c r="H36" s="19"/>
      <c r="I36" s="20">
        <v>45</v>
      </c>
      <c r="J36" s="24">
        <v>1.40625</v>
      </c>
      <c r="K36" s="22">
        <v>0.71111111111111114</v>
      </c>
    </row>
    <row r="37" spans="2:12" x14ac:dyDescent="0.2">
      <c r="B37" t="s">
        <v>68</v>
      </c>
      <c r="C37" t="s">
        <v>73</v>
      </c>
      <c r="F37" s="18">
        <v>1</v>
      </c>
      <c r="G37" s="18">
        <v>112</v>
      </c>
      <c r="H37" s="19"/>
      <c r="I37" s="20">
        <v>112</v>
      </c>
      <c r="J37" s="24">
        <v>3.5</v>
      </c>
      <c r="K37" s="22">
        <v>0.2857142857142857</v>
      </c>
    </row>
    <row r="38" spans="2:12" x14ac:dyDescent="0.2">
      <c r="B38" t="s">
        <v>68</v>
      </c>
      <c r="C38" t="s">
        <v>74</v>
      </c>
      <c r="F38" s="18">
        <v>1</v>
      </c>
      <c r="G38" s="18">
        <v>50</v>
      </c>
      <c r="H38" s="18"/>
      <c r="I38" s="25">
        <v>50</v>
      </c>
      <c r="J38" s="24">
        <v>1.5625</v>
      </c>
      <c r="K38" s="22">
        <v>0.64</v>
      </c>
    </row>
    <row r="39" spans="2:12" x14ac:dyDescent="0.2">
      <c r="B39" t="s">
        <v>68</v>
      </c>
      <c r="C39" s="26" t="s">
        <v>75</v>
      </c>
      <c r="F39" s="18">
        <v>1</v>
      </c>
      <c r="G39" s="18">
        <v>690</v>
      </c>
      <c r="H39" s="18"/>
      <c r="I39" s="25">
        <v>690</v>
      </c>
      <c r="J39" s="24">
        <v>21.5625</v>
      </c>
      <c r="K39" s="22">
        <v>4.6376811594202899E-2</v>
      </c>
    </row>
    <row r="40" spans="2:12" x14ac:dyDescent="0.2">
      <c r="B40" t="s">
        <v>68</v>
      </c>
      <c r="C40" t="s">
        <v>76</v>
      </c>
      <c r="F40" s="18">
        <v>1</v>
      </c>
      <c r="G40" s="18">
        <v>216</v>
      </c>
      <c r="H40" s="18"/>
      <c r="I40" s="25">
        <v>216</v>
      </c>
      <c r="J40" s="24">
        <v>6.75</v>
      </c>
      <c r="K40" s="22">
        <v>0.14814814814814814</v>
      </c>
    </row>
    <row r="41" spans="2:12" s="27" customFormat="1" x14ac:dyDescent="0.2">
      <c r="B41" s="27" t="s">
        <v>77</v>
      </c>
      <c r="C41" s="28" t="s">
        <v>78</v>
      </c>
      <c r="D41" s="29"/>
      <c r="E41" s="30"/>
      <c r="F41" s="31">
        <v>1</v>
      </c>
      <c r="G41" s="31">
        <v>28</v>
      </c>
      <c r="H41" s="31"/>
      <c r="I41" s="32">
        <v>28</v>
      </c>
      <c r="J41" s="33">
        <v>0.875</v>
      </c>
      <c r="K41" s="34">
        <v>1.1428571428571428</v>
      </c>
      <c r="L41" s="35" t="s">
        <v>79</v>
      </c>
    </row>
    <row r="42" spans="2:12" x14ac:dyDescent="0.2">
      <c r="B42" t="s">
        <v>77</v>
      </c>
      <c r="C42" s="36" t="s">
        <v>80</v>
      </c>
      <c r="F42" s="18">
        <v>1</v>
      </c>
      <c r="G42" s="18">
        <v>28</v>
      </c>
      <c r="H42" s="18"/>
      <c r="I42" s="25">
        <v>28</v>
      </c>
      <c r="J42" s="24">
        <v>0.875</v>
      </c>
      <c r="K42" s="22">
        <v>1.1428571428571428</v>
      </c>
      <c r="L42" s="5" t="s">
        <v>79</v>
      </c>
    </row>
    <row r="43" spans="2:12" x14ac:dyDescent="0.2">
      <c r="B43" t="s">
        <v>77</v>
      </c>
      <c r="C43" s="36" t="s">
        <v>81</v>
      </c>
      <c r="F43" s="18">
        <v>1</v>
      </c>
      <c r="G43" s="18">
        <v>28</v>
      </c>
      <c r="H43" s="18"/>
      <c r="I43" s="25">
        <v>28</v>
      </c>
      <c r="J43" s="24">
        <v>0.875</v>
      </c>
      <c r="K43" s="22">
        <v>1.1428571428571428</v>
      </c>
      <c r="L43" s="5" t="s">
        <v>79</v>
      </c>
    </row>
    <row r="44" spans="2:12" x14ac:dyDescent="0.2">
      <c r="B44" t="s">
        <v>77</v>
      </c>
      <c r="C44" s="36" t="s">
        <v>82</v>
      </c>
      <c r="F44" s="18">
        <v>1</v>
      </c>
      <c r="G44" s="18">
        <v>56</v>
      </c>
      <c r="H44" s="18"/>
      <c r="I44" s="25">
        <v>56</v>
      </c>
      <c r="J44" s="24">
        <v>1.75</v>
      </c>
      <c r="K44" s="22">
        <v>0.5714285714285714</v>
      </c>
      <c r="L44" s="5" t="s">
        <v>83</v>
      </c>
    </row>
    <row r="45" spans="2:12" x14ac:dyDescent="0.2">
      <c r="B45" t="s">
        <v>77</v>
      </c>
      <c r="C45" s="36" t="s">
        <v>84</v>
      </c>
      <c r="F45" s="18">
        <v>1</v>
      </c>
      <c r="G45" s="18">
        <v>56</v>
      </c>
      <c r="H45" s="18"/>
      <c r="I45" s="25">
        <v>56</v>
      </c>
      <c r="J45" s="24">
        <v>1.75</v>
      </c>
      <c r="K45" s="22">
        <v>0.5714285714285714</v>
      </c>
      <c r="L45" s="5" t="s">
        <v>83</v>
      </c>
    </row>
    <row r="46" spans="2:12" x14ac:dyDescent="0.2">
      <c r="B46" t="s">
        <v>77</v>
      </c>
      <c r="C46" s="36" t="s">
        <v>85</v>
      </c>
      <c r="F46" s="18">
        <v>1</v>
      </c>
      <c r="G46" s="18">
        <v>168</v>
      </c>
      <c r="H46" s="18"/>
      <c r="I46" s="25">
        <v>168</v>
      </c>
      <c r="J46" s="24">
        <v>5.25</v>
      </c>
      <c r="K46" s="22">
        <v>0.19047619047619047</v>
      </c>
      <c r="L46" s="5" t="s">
        <v>86</v>
      </c>
    </row>
    <row r="47" spans="2:12" x14ac:dyDescent="0.2">
      <c r="B47" t="s">
        <v>77</v>
      </c>
      <c r="C47" s="36" t="s">
        <v>87</v>
      </c>
      <c r="F47" s="18">
        <v>1</v>
      </c>
      <c r="G47" s="18">
        <v>168</v>
      </c>
      <c r="H47" s="18"/>
      <c r="I47" s="25">
        <v>168</v>
      </c>
      <c r="J47" s="24">
        <v>5.25</v>
      </c>
      <c r="K47" s="22">
        <v>0.19047619047619047</v>
      </c>
      <c r="L47" s="5" t="s">
        <v>86</v>
      </c>
    </row>
    <row r="48" spans="2:12" x14ac:dyDescent="0.2">
      <c r="B48" t="s">
        <v>77</v>
      </c>
      <c r="C48" s="36" t="s">
        <v>88</v>
      </c>
      <c r="F48" s="18">
        <v>1</v>
      </c>
      <c r="G48" s="18">
        <v>168</v>
      </c>
      <c r="H48" s="18"/>
      <c r="I48" s="25">
        <v>168</v>
      </c>
      <c r="J48" s="24">
        <v>5.25</v>
      </c>
      <c r="K48" s="22">
        <v>0.19047619047619047</v>
      </c>
      <c r="L48" s="5" t="s">
        <v>86</v>
      </c>
    </row>
    <row r="49" spans="2:12" x14ac:dyDescent="0.2">
      <c r="B49" t="s">
        <v>77</v>
      </c>
      <c r="C49" s="36" t="s">
        <v>89</v>
      </c>
      <c r="F49" s="18">
        <v>1</v>
      </c>
      <c r="G49" s="18">
        <v>336</v>
      </c>
      <c r="H49" s="18"/>
      <c r="I49" s="25">
        <v>336</v>
      </c>
      <c r="J49" s="24">
        <v>10.5</v>
      </c>
      <c r="K49" s="22">
        <v>9.5238095238095233E-2</v>
      </c>
      <c r="L49" s="5" t="s">
        <v>86</v>
      </c>
    </row>
    <row r="50" spans="2:12" x14ac:dyDescent="0.2">
      <c r="B50" t="s">
        <v>77</v>
      </c>
      <c r="C50" s="36" t="s">
        <v>90</v>
      </c>
      <c r="F50" s="18">
        <v>1</v>
      </c>
      <c r="G50" s="18">
        <v>336</v>
      </c>
      <c r="H50" s="18"/>
      <c r="I50" s="25">
        <v>336</v>
      </c>
      <c r="J50" s="24">
        <v>10.5</v>
      </c>
      <c r="K50" s="22">
        <v>9.5238095238095233E-2</v>
      </c>
      <c r="L50" s="5" t="s">
        <v>86</v>
      </c>
    </row>
    <row r="51" spans="2:12" x14ac:dyDescent="0.2">
      <c r="B51" t="s">
        <v>77</v>
      </c>
      <c r="C51" s="36" t="s">
        <v>91</v>
      </c>
      <c r="F51" s="18">
        <v>1</v>
      </c>
      <c r="G51" s="18">
        <v>252</v>
      </c>
      <c r="H51" s="18"/>
      <c r="I51" s="25">
        <v>252</v>
      </c>
      <c r="J51" s="24">
        <v>7.875</v>
      </c>
      <c r="K51" s="22">
        <v>0.12698412698412698</v>
      </c>
      <c r="L51" s="5" t="s">
        <v>86</v>
      </c>
    </row>
    <row r="52" spans="2:12" x14ac:dyDescent="0.2">
      <c r="B52" t="s">
        <v>77</v>
      </c>
      <c r="C52" t="s">
        <v>92</v>
      </c>
      <c r="D52" s="1" t="s">
        <v>93</v>
      </c>
      <c r="E52" s="2">
        <v>-1</v>
      </c>
      <c r="F52" s="18">
        <v>1</v>
      </c>
      <c r="G52" s="18">
        <v>5</v>
      </c>
      <c r="H52" s="18"/>
      <c r="I52" s="25">
        <v>4</v>
      </c>
      <c r="J52" s="24">
        <v>0.15625</v>
      </c>
      <c r="K52" s="22">
        <v>6.4</v>
      </c>
    </row>
    <row r="53" spans="2:12" x14ac:dyDescent="0.2">
      <c r="B53" t="s">
        <v>77</v>
      </c>
      <c r="C53" t="s">
        <v>94</v>
      </c>
      <c r="D53" s="1" t="s">
        <v>95</v>
      </c>
      <c r="E53" s="2">
        <v>0</v>
      </c>
      <c r="F53" s="18">
        <v>1</v>
      </c>
      <c r="G53" s="18">
        <v>8</v>
      </c>
      <c r="H53" s="18"/>
      <c r="I53" s="25">
        <v>7</v>
      </c>
      <c r="J53" s="24">
        <v>0.25</v>
      </c>
      <c r="K53" s="22">
        <v>4</v>
      </c>
    </row>
    <row r="54" spans="2:12" x14ac:dyDescent="0.2">
      <c r="B54" t="s">
        <v>77</v>
      </c>
      <c r="C54" t="s">
        <v>96</v>
      </c>
      <c r="D54" s="1" t="s">
        <v>97</v>
      </c>
      <c r="E54" s="2">
        <v>1</v>
      </c>
      <c r="F54" s="18">
        <v>1</v>
      </c>
      <c r="G54" s="18">
        <v>13</v>
      </c>
      <c r="H54" s="18"/>
      <c r="I54" s="25">
        <v>12</v>
      </c>
      <c r="J54" s="24">
        <v>0.40625</v>
      </c>
      <c r="K54" s="22">
        <v>2.4615384615384617</v>
      </c>
    </row>
    <row r="55" spans="2:12" x14ac:dyDescent="0.2">
      <c r="B55" t="s">
        <v>77</v>
      </c>
      <c r="C55" t="s">
        <v>98</v>
      </c>
      <c r="D55" s="1" t="s">
        <v>99</v>
      </c>
      <c r="E55" s="2">
        <v>2</v>
      </c>
      <c r="F55" s="18">
        <v>1</v>
      </c>
      <c r="G55" s="18">
        <v>24</v>
      </c>
      <c r="H55" s="18"/>
      <c r="I55" s="25">
        <v>22</v>
      </c>
      <c r="J55" s="24">
        <v>0.75</v>
      </c>
      <c r="K55" s="22">
        <v>1.3333333333333333</v>
      </c>
    </row>
    <row r="56" spans="2:12" x14ac:dyDescent="0.2">
      <c r="B56" t="s">
        <v>77</v>
      </c>
      <c r="C56" t="s">
        <v>100</v>
      </c>
      <c r="D56" s="1" t="s">
        <v>101</v>
      </c>
      <c r="E56" s="2">
        <v>3</v>
      </c>
      <c r="F56" s="18">
        <v>1</v>
      </c>
      <c r="G56" s="18">
        <v>43</v>
      </c>
      <c r="H56" s="18"/>
      <c r="I56" s="25">
        <v>39</v>
      </c>
      <c r="J56" s="24">
        <v>1.34375</v>
      </c>
      <c r="K56" s="22">
        <v>0.7441860465116279</v>
      </c>
    </row>
    <row r="57" spans="2:12" x14ac:dyDescent="0.2">
      <c r="B57" t="s">
        <v>77</v>
      </c>
      <c r="C57" t="s">
        <v>102</v>
      </c>
      <c r="D57" s="1" t="s">
        <v>103</v>
      </c>
      <c r="E57" s="2">
        <v>4</v>
      </c>
      <c r="F57" s="18">
        <v>1</v>
      </c>
      <c r="G57" s="18">
        <v>76</v>
      </c>
      <c r="H57" s="18"/>
      <c r="I57" s="25">
        <v>70</v>
      </c>
      <c r="J57" s="24">
        <v>2.375</v>
      </c>
      <c r="K57" s="22">
        <v>0.42105263157894735</v>
      </c>
    </row>
    <row r="58" spans="2:12" x14ac:dyDescent="0.2">
      <c r="B58" t="s">
        <v>77</v>
      </c>
      <c r="C58" t="s">
        <v>104</v>
      </c>
      <c r="D58" s="1" t="s">
        <v>105</v>
      </c>
      <c r="E58" s="2">
        <v>5</v>
      </c>
      <c r="F58" s="18">
        <v>1</v>
      </c>
      <c r="G58" s="18">
        <v>137</v>
      </c>
      <c r="H58" s="18"/>
      <c r="I58" s="25">
        <v>126</v>
      </c>
      <c r="J58" s="24">
        <v>4.28125</v>
      </c>
      <c r="K58" s="22">
        <v>0.23357664233576642</v>
      </c>
    </row>
    <row r="59" spans="2:12" s="37" customFormat="1" x14ac:dyDescent="0.2">
      <c r="B59" s="37" t="s">
        <v>77</v>
      </c>
      <c r="C59" s="37" t="s">
        <v>106</v>
      </c>
      <c r="D59" s="38" t="s">
        <v>107</v>
      </c>
      <c r="E59" s="39">
        <v>6</v>
      </c>
      <c r="F59" s="40">
        <v>1</v>
      </c>
      <c r="G59" s="40">
        <v>247</v>
      </c>
      <c r="H59" s="40"/>
      <c r="I59" s="41">
        <v>227</v>
      </c>
      <c r="J59" s="42">
        <v>7.71875</v>
      </c>
      <c r="K59" s="43">
        <v>0.12955465587044535</v>
      </c>
      <c r="L59" s="44"/>
    </row>
    <row r="60" spans="2:12" s="27" customFormat="1" x14ac:dyDescent="0.2">
      <c r="B60" s="27" t="s">
        <v>108</v>
      </c>
      <c r="C60" s="27" t="s">
        <v>109</v>
      </c>
      <c r="D60" s="29" t="s">
        <v>110</v>
      </c>
      <c r="E60" s="30">
        <v>2</v>
      </c>
      <c r="F60" s="31">
        <v>1</v>
      </c>
      <c r="G60" s="31">
        <v>36</v>
      </c>
      <c r="H60" s="31"/>
      <c r="I60" s="32">
        <v>36</v>
      </c>
      <c r="J60" s="33">
        <v>1.125</v>
      </c>
      <c r="K60" s="34">
        <v>0.88888888888888884</v>
      </c>
      <c r="L60" s="35"/>
    </row>
    <row r="61" spans="2:12" x14ac:dyDescent="0.2">
      <c r="B61" t="s">
        <v>108</v>
      </c>
      <c r="C61" t="s">
        <v>111</v>
      </c>
      <c r="D61" s="1" t="s">
        <v>110</v>
      </c>
      <c r="E61" s="2">
        <v>3</v>
      </c>
      <c r="F61" s="18">
        <v>1</v>
      </c>
      <c r="G61" s="18">
        <v>144</v>
      </c>
      <c r="H61" s="18"/>
      <c r="I61" s="25">
        <v>144</v>
      </c>
      <c r="J61" s="24">
        <v>4.5</v>
      </c>
      <c r="K61" s="22">
        <v>0.22222222222222221</v>
      </c>
    </row>
    <row r="62" spans="2:12" x14ac:dyDescent="0.2">
      <c r="B62" t="s">
        <v>108</v>
      </c>
      <c r="C62" t="s">
        <v>112</v>
      </c>
      <c r="D62" s="1" t="s">
        <v>110</v>
      </c>
      <c r="E62" s="2">
        <v>4</v>
      </c>
      <c r="F62" s="18">
        <v>1</v>
      </c>
      <c r="G62" s="18">
        <v>720</v>
      </c>
      <c r="H62" s="18"/>
      <c r="I62" s="25">
        <v>720</v>
      </c>
      <c r="J62" s="24">
        <v>22.5</v>
      </c>
      <c r="K62" s="22">
        <v>4.4444444444444446E-2</v>
      </c>
    </row>
    <row r="63" spans="2:12" x14ac:dyDescent="0.2">
      <c r="B63" t="s">
        <v>108</v>
      </c>
      <c r="C63" t="s">
        <v>113</v>
      </c>
      <c r="D63" s="1" t="s">
        <v>110</v>
      </c>
      <c r="E63" s="2">
        <v>5</v>
      </c>
      <c r="F63" s="18">
        <v>1</v>
      </c>
      <c r="G63" s="18">
        <v>1800</v>
      </c>
      <c r="H63" s="18"/>
      <c r="I63" s="25">
        <v>1800</v>
      </c>
      <c r="J63" s="24">
        <v>56.25</v>
      </c>
      <c r="K63" s="22">
        <v>1.7777777777777778E-2</v>
      </c>
    </row>
    <row r="64" spans="2:12" x14ac:dyDescent="0.2">
      <c r="B64" t="s">
        <v>108</v>
      </c>
      <c r="C64" t="s">
        <v>114</v>
      </c>
      <c r="D64" s="1" t="s">
        <v>115</v>
      </c>
      <c r="E64" s="2">
        <v>2</v>
      </c>
      <c r="F64" s="18">
        <v>1</v>
      </c>
      <c r="G64" s="18">
        <v>36</v>
      </c>
      <c r="H64" s="18"/>
      <c r="I64" s="25">
        <v>36</v>
      </c>
      <c r="J64" s="24">
        <v>1.125</v>
      </c>
      <c r="K64" s="22">
        <v>0.88888888888888884</v>
      </c>
    </row>
    <row r="65" spans="2:12" x14ac:dyDescent="0.2">
      <c r="B65" t="s">
        <v>108</v>
      </c>
      <c r="C65" t="s">
        <v>116</v>
      </c>
      <c r="D65" s="1" t="s">
        <v>115</v>
      </c>
      <c r="E65" s="2">
        <v>3</v>
      </c>
      <c r="F65" s="18">
        <v>1</v>
      </c>
      <c r="G65" s="18">
        <v>144</v>
      </c>
      <c r="H65" s="18"/>
      <c r="I65" s="25">
        <v>144</v>
      </c>
      <c r="J65" s="24">
        <v>4.5</v>
      </c>
      <c r="K65" s="22">
        <v>0.22222222222222221</v>
      </c>
    </row>
    <row r="66" spans="2:12" x14ac:dyDescent="0.2">
      <c r="B66" t="s">
        <v>108</v>
      </c>
      <c r="C66" t="s">
        <v>117</v>
      </c>
      <c r="D66" s="1" t="s">
        <v>115</v>
      </c>
      <c r="E66" s="2">
        <v>4</v>
      </c>
      <c r="F66" s="18">
        <v>1</v>
      </c>
      <c r="G66" s="18">
        <v>720</v>
      </c>
      <c r="H66" s="18"/>
      <c r="I66" s="25">
        <v>720</v>
      </c>
      <c r="J66" s="24">
        <v>22.5</v>
      </c>
      <c r="K66" s="22">
        <v>4.4444444444444446E-2</v>
      </c>
    </row>
    <row r="67" spans="2:12" x14ac:dyDescent="0.2">
      <c r="B67" t="s">
        <v>108</v>
      </c>
      <c r="C67" t="s">
        <v>118</v>
      </c>
      <c r="D67" s="1" t="s">
        <v>115</v>
      </c>
      <c r="E67" s="2">
        <v>5</v>
      </c>
      <c r="F67" s="18">
        <v>1</v>
      </c>
      <c r="G67" s="18">
        <v>1800</v>
      </c>
      <c r="H67" s="18"/>
      <c r="I67" s="25">
        <v>1800</v>
      </c>
      <c r="J67" s="24">
        <v>56.25</v>
      </c>
      <c r="K67" s="22">
        <v>1.7777777777777778E-2</v>
      </c>
    </row>
    <row r="68" spans="2:12" x14ac:dyDescent="0.2">
      <c r="B68" t="s">
        <v>108</v>
      </c>
      <c r="C68" t="s">
        <v>119</v>
      </c>
      <c r="D68" s="1" t="s">
        <v>120</v>
      </c>
      <c r="E68" s="2">
        <v>2</v>
      </c>
      <c r="F68" s="18">
        <v>1</v>
      </c>
      <c r="G68" s="18">
        <v>36</v>
      </c>
      <c r="H68" s="18"/>
      <c r="I68" s="25">
        <v>36</v>
      </c>
      <c r="J68" s="24">
        <v>1.125</v>
      </c>
      <c r="K68" s="22">
        <v>0.88888888888888884</v>
      </c>
    </row>
    <row r="69" spans="2:12" x14ac:dyDescent="0.2">
      <c r="B69" t="s">
        <v>108</v>
      </c>
      <c r="C69" t="s">
        <v>121</v>
      </c>
      <c r="D69" s="1" t="s">
        <v>120</v>
      </c>
      <c r="E69" s="2">
        <v>3</v>
      </c>
      <c r="F69" s="18">
        <v>1</v>
      </c>
      <c r="G69" s="18">
        <v>144</v>
      </c>
      <c r="H69" s="18"/>
      <c r="I69" s="25">
        <v>144</v>
      </c>
      <c r="J69" s="24">
        <v>4.5</v>
      </c>
      <c r="K69" s="22">
        <v>0.22222222222222221</v>
      </c>
    </row>
    <row r="70" spans="2:12" x14ac:dyDescent="0.2">
      <c r="B70" t="s">
        <v>108</v>
      </c>
      <c r="C70" t="s">
        <v>122</v>
      </c>
      <c r="D70" s="1" t="s">
        <v>120</v>
      </c>
      <c r="E70" s="2">
        <v>4</v>
      </c>
      <c r="F70" s="18">
        <v>1</v>
      </c>
      <c r="G70" s="18">
        <v>720</v>
      </c>
      <c r="H70" s="18"/>
      <c r="I70" s="25">
        <v>720</v>
      </c>
      <c r="J70" s="24">
        <v>22.5</v>
      </c>
      <c r="K70" s="22">
        <v>4.4444444444444446E-2</v>
      </c>
    </row>
    <row r="71" spans="2:12" x14ac:dyDescent="0.2">
      <c r="B71" t="s">
        <v>108</v>
      </c>
      <c r="C71" t="s">
        <v>123</v>
      </c>
      <c r="D71" s="1" t="s">
        <v>120</v>
      </c>
      <c r="E71" s="2">
        <v>5</v>
      </c>
      <c r="F71" s="18">
        <v>1</v>
      </c>
      <c r="G71" s="18">
        <v>1800</v>
      </c>
      <c r="H71" s="18"/>
      <c r="I71" s="25">
        <v>1800</v>
      </c>
      <c r="J71" s="24">
        <v>56.25</v>
      </c>
      <c r="K71" s="22">
        <v>1.7777777777777778E-2</v>
      </c>
    </row>
    <row r="72" spans="2:12" x14ac:dyDescent="0.2">
      <c r="B72" t="s">
        <v>108</v>
      </c>
      <c r="C72" t="s">
        <v>124</v>
      </c>
      <c r="D72" s="1" t="s">
        <v>125</v>
      </c>
      <c r="E72" s="2">
        <v>2</v>
      </c>
      <c r="F72" s="18">
        <v>1</v>
      </c>
      <c r="G72" s="18">
        <v>36</v>
      </c>
      <c r="H72" s="18"/>
      <c r="I72" s="25">
        <v>36</v>
      </c>
      <c r="J72" s="24">
        <v>1.125</v>
      </c>
      <c r="K72" s="22">
        <v>0.88888888888888884</v>
      </c>
    </row>
    <row r="73" spans="2:12" x14ac:dyDescent="0.2">
      <c r="B73" t="s">
        <v>108</v>
      </c>
      <c r="C73" t="s">
        <v>126</v>
      </c>
      <c r="D73" s="1" t="s">
        <v>125</v>
      </c>
      <c r="E73" s="2">
        <v>3</v>
      </c>
      <c r="F73" s="18">
        <v>1</v>
      </c>
      <c r="G73" s="18">
        <v>144</v>
      </c>
      <c r="H73" s="18"/>
      <c r="I73" s="25">
        <v>144</v>
      </c>
      <c r="J73" s="24">
        <v>4.5</v>
      </c>
      <c r="K73" s="22">
        <v>0.22222222222222221</v>
      </c>
    </row>
    <row r="74" spans="2:12" x14ac:dyDescent="0.2">
      <c r="B74" t="s">
        <v>108</v>
      </c>
      <c r="C74" t="s">
        <v>127</v>
      </c>
      <c r="D74" s="1" t="s">
        <v>125</v>
      </c>
      <c r="E74" s="2">
        <v>4</v>
      </c>
      <c r="F74" s="18">
        <v>1</v>
      </c>
      <c r="G74" s="18">
        <v>720</v>
      </c>
      <c r="H74" s="18"/>
      <c r="I74" s="25">
        <v>720</v>
      </c>
      <c r="J74" s="24">
        <v>22.5</v>
      </c>
      <c r="K74" s="22">
        <v>4.4444444444444446E-2</v>
      </c>
    </row>
    <row r="75" spans="2:12" x14ac:dyDescent="0.2">
      <c r="B75" t="s">
        <v>108</v>
      </c>
      <c r="C75" t="s">
        <v>128</v>
      </c>
      <c r="D75" s="1" t="s">
        <v>125</v>
      </c>
      <c r="E75" s="2">
        <v>5</v>
      </c>
      <c r="F75" s="18">
        <v>1</v>
      </c>
      <c r="G75" s="18">
        <v>1800</v>
      </c>
      <c r="H75" s="18"/>
      <c r="I75" s="25">
        <v>1800</v>
      </c>
      <c r="J75" s="24">
        <v>56.25</v>
      </c>
      <c r="K75" s="22">
        <v>1.7777777777777778E-2</v>
      </c>
    </row>
    <row r="76" spans="2:12" x14ac:dyDescent="0.2">
      <c r="B76" t="s">
        <v>108</v>
      </c>
      <c r="C76" t="s">
        <v>129</v>
      </c>
      <c r="D76" s="1" t="s">
        <v>130</v>
      </c>
      <c r="E76" s="2">
        <v>1</v>
      </c>
      <c r="F76" s="18">
        <v>1</v>
      </c>
      <c r="G76" s="18">
        <v>18</v>
      </c>
      <c r="H76" s="18"/>
      <c r="I76" s="25">
        <v>18</v>
      </c>
      <c r="J76" s="24">
        <v>0.5625</v>
      </c>
      <c r="K76" s="22">
        <v>1.7777777777777777</v>
      </c>
    </row>
    <row r="77" spans="2:12" x14ac:dyDescent="0.2">
      <c r="B77" t="s">
        <v>108</v>
      </c>
      <c r="C77" t="s">
        <v>131</v>
      </c>
      <c r="D77" s="1" t="s">
        <v>130</v>
      </c>
      <c r="E77" s="2">
        <v>2</v>
      </c>
      <c r="F77" s="18">
        <v>1</v>
      </c>
      <c r="G77" s="18">
        <v>36</v>
      </c>
      <c r="H77" s="18"/>
      <c r="I77" s="25">
        <v>36</v>
      </c>
      <c r="J77" s="24">
        <v>1.125</v>
      </c>
      <c r="K77" s="22">
        <v>0.88888888888888884</v>
      </c>
    </row>
    <row r="78" spans="2:12" x14ac:dyDescent="0.2">
      <c r="B78" t="s">
        <v>108</v>
      </c>
      <c r="C78" t="s">
        <v>132</v>
      </c>
      <c r="D78" s="1" t="s">
        <v>130</v>
      </c>
      <c r="E78" s="2">
        <v>3</v>
      </c>
      <c r="F78" s="18">
        <v>1</v>
      </c>
      <c r="G78" s="18">
        <v>144</v>
      </c>
      <c r="H78" s="18"/>
      <c r="I78" s="25">
        <v>144</v>
      </c>
      <c r="J78" s="24">
        <v>4.5</v>
      </c>
      <c r="K78" s="22">
        <v>0.22222222222222221</v>
      </c>
    </row>
    <row r="79" spans="2:12" x14ac:dyDescent="0.2">
      <c r="B79" t="s">
        <v>108</v>
      </c>
      <c r="C79" t="s">
        <v>133</v>
      </c>
      <c r="D79" s="1" t="s">
        <v>130</v>
      </c>
      <c r="E79" s="2">
        <v>4</v>
      </c>
      <c r="F79" s="18">
        <v>1</v>
      </c>
      <c r="G79" s="18">
        <v>720</v>
      </c>
      <c r="H79" s="18"/>
      <c r="I79" s="25">
        <v>720</v>
      </c>
      <c r="J79" s="24">
        <v>22.5</v>
      </c>
      <c r="K79" s="22">
        <v>4.4444444444444446E-2</v>
      </c>
    </row>
    <row r="80" spans="2:12" s="37" customFormat="1" x14ac:dyDescent="0.2">
      <c r="B80" s="37" t="s">
        <v>108</v>
      </c>
      <c r="C80" s="37" t="s">
        <v>134</v>
      </c>
      <c r="D80" s="38" t="s">
        <v>130</v>
      </c>
      <c r="E80" s="39">
        <v>5</v>
      </c>
      <c r="F80" s="40">
        <v>1</v>
      </c>
      <c r="G80" s="18">
        <v>1800</v>
      </c>
      <c r="H80" s="40"/>
      <c r="I80" s="41">
        <v>1800</v>
      </c>
      <c r="J80" s="42">
        <v>56.25</v>
      </c>
      <c r="K80" s="43">
        <v>1.7777777777777778E-2</v>
      </c>
      <c r="L80" s="44"/>
    </row>
    <row r="81" spans="2:33" x14ac:dyDescent="0.2">
      <c r="B81" t="s">
        <v>135</v>
      </c>
      <c r="C81" t="s">
        <v>136</v>
      </c>
      <c r="D81" s="1" t="s">
        <v>137</v>
      </c>
      <c r="E81" s="2">
        <v>1</v>
      </c>
      <c r="F81" s="18">
        <v>1</v>
      </c>
      <c r="G81" s="18">
        <v>16</v>
      </c>
      <c r="H81" s="18"/>
      <c r="I81" s="25">
        <v>16</v>
      </c>
      <c r="J81" s="24">
        <v>0.5</v>
      </c>
      <c r="K81" s="22">
        <v>2</v>
      </c>
      <c r="L81" s="5" t="s">
        <v>138</v>
      </c>
    </row>
    <row r="82" spans="2:33" x14ac:dyDescent="0.2">
      <c r="B82" t="s">
        <v>135</v>
      </c>
      <c r="C82" t="s">
        <v>139</v>
      </c>
      <c r="D82" s="1" t="s">
        <v>140</v>
      </c>
      <c r="E82" s="2">
        <v>2</v>
      </c>
      <c r="F82" s="18">
        <v>1</v>
      </c>
      <c r="G82" s="18">
        <v>48</v>
      </c>
      <c r="H82" s="18"/>
      <c r="I82" s="25">
        <v>48</v>
      </c>
      <c r="J82" s="24">
        <v>1.5</v>
      </c>
      <c r="K82" s="22">
        <v>0.66666666666666663</v>
      </c>
      <c r="L82" s="5" t="s">
        <v>141</v>
      </c>
    </row>
    <row r="83" spans="2:33" x14ac:dyDescent="0.2">
      <c r="B83" t="s">
        <v>135</v>
      </c>
      <c r="C83" t="s">
        <v>142</v>
      </c>
      <c r="E83" s="2">
        <v>1</v>
      </c>
      <c r="F83" s="18">
        <v>1</v>
      </c>
      <c r="G83" s="18">
        <v>58</v>
      </c>
      <c r="H83" s="18"/>
      <c r="I83" s="25">
        <v>58</v>
      </c>
      <c r="J83" s="24">
        <v>1.8125</v>
      </c>
      <c r="K83" s="22">
        <v>0.55172413793103448</v>
      </c>
    </row>
    <row r="84" spans="2:33" x14ac:dyDescent="0.2">
      <c r="B84" t="s">
        <v>135</v>
      </c>
      <c r="C84" t="s">
        <v>143</v>
      </c>
      <c r="E84" s="2">
        <v>1</v>
      </c>
      <c r="F84" s="18">
        <v>1</v>
      </c>
      <c r="G84" s="18">
        <v>50</v>
      </c>
      <c r="H84" s="18"/>
      <c r="I84" s="25">
        <v>50</v>
      </c>
      <c r="J84" s="24">
        <v>1.5625</v>
      </c>
      <c r="K84" s="22">
        <v>0.64</v>
      </c>
    </row>
    <row r="85" spans="2:33" x14ac:dyDescent="0.2">
      <c r="B85" t="s">
        <v>135</v>
      </c>
      <c r="C85" t="s">
        <v>144</v>
      </c>
      <c r="D85" s="1" t="s">
        <v>145</v>
      </c>
      <c r="E85" s="2">
        <v>1</v>
      </c>
      <c r="F85" s="18">
        <v>1</v>
      </c>
      <c r="G85" s="18">
        <v>36.769523809523811</v>
      </c>
      <c r="H85" s="18"/>
      <c r="I85" s="25">
        <v>36.769523809523811</v>
      </c>
      <c r="J85" s="24">
        <v>1.1490476190476191</v>
      </c>
      <c r="K85" s="22">
        <v>0.87028595109821794</v>
      </c>
    </row>
    <row r="86" spans="2:33" x14ac:dyDescent="0.2">
      <c r="B86" t="s">
        <v>135</v>
      </c>
      <c r="C86" t="s">
        <v>146</v>
      </c>
      <c r="D86" s="1" t="s">
        <v>147</v>
      </c>
      <c r="E86" s="2">
        <v>2</v>
      </c>
      <c r="F86" s="18">
        <v>1</v>
      </c>
      <c r="G86" s="18">
        <v>91.923809523809524</v>
      </c>
      <c r="H86" s="18"/>
      <c r="I86" s="25">
        <v>91.923809523809524</v>
      </c>
      <c r="J86" s="24">
        <v>2.8726190476190476</v>
      </c>
      <c r="K86" s="22">
        <v>0.34811438043928722</v>
      </c>
    </row>
    <row r="87" spans="2:33" x14ac:dyDescent="0.2">
      <c r="B87" t="s">
        <v>135</v>
      </c>
      <c r="C87" t="s">
        <v>148</v>
      </c>
      <c r="D87" s="1" t="s">
        <v>149</v>
      </c>
      <c r="E87" s="2">
        <v>3</v>
      </c>
      <c r="F87" s="18">
        <v>1</v>
      </c>
      <c r="G87" s="18">
        <v>229.80952380952382</v>
      </c>
      <c r="H87" s="18"/>
      <c r="I87" s="25">
        <v>229.80952380952382</v>
      </c>
      <c r="J87" s="24">
        <v>7.1815476190476195</v>
      </c>
      <c r="K87" s="22">
        <v>0.13924575217571486</v>
      </c>
    </row>
    <row r="88" spans="2:33" x14ac:dyDescent="0.2">
      <c r="B88" t="s">
        <v>135</v>
      </c>
      <c r="C88" t="s">
        <v>150</v>
      </c>
      <c r="D88" s="1" t="s">
        <v>151</v>
      </c>
      <c r="E88" s="2">
        <v>4</v>
      </c>
      <c r="F88" s="18">
        <v>1</v>
      </c>
      <c r="G88" s="18">
        <v>689.42857142857144</v>
      </c>
      <c r="H88" s="18"/>
      <c r="I88" s="25">
        <v>689.42857142857144</v>
      </c>
      <c r="J88" s="24">
        <v>21.544642857142858</v>
      </c>
      <c r="K88" s="22">
        <v>4.6415250725238291E-2</v>
      </c>
    </row>
    <row r="89" spans="2:33" x14ac:dyDescent="0.2">
      <c r="B89" t="s">
        <v>135</v>
      </c>
      <c r="C89" t="s">
        <v>152</v>
      </c>
      <c r="D89" s="1" t="s">
        <v>153</v>
      </c>
      <c r="E89" s="2">
        <v>5</v>
      </c>
      <c r="F89" s="18">
        <v>1</v>
      </c>
      <c r="G89" s="45">
        <v>2413</v>
      </c>
      <c r="H89" s="45"/>
      <c r="I89" s="25">
        <v>2413</v>
      </c>
      <c r="J89" s="24">
        <v>75.40625</v>
      </c>
      <c r="K89" s="22">
        <v>1.326150020721094E-2</v>
      </c>
    </row>
    <row r="90" spans="2:33" s="27" customFormat="1" x14ac:dyDescent="0.2">
      <c r="B90" s="27" t="s">
        <v>154</v>
      </c>
      <c r="C90" s="27" t="str">
        <f>D90&amp;" L"&amp;E90</f>
        <v>Ballista L-1</v>
      </c>
      <c r="D90" s="29" t="s">
        <v>241</v>
      </c>
      <c r="E90" s="30">
        <v>-1</v>
      </c>
      <c r="F90" s="31">
        <v>1</v>
      </c>
      <c r="G90" s="46">
        <v>6</v>
      </c>
      <c r="H90" s="46"/>
      <c r="I90" s="47">
        <v>6</v>
      </c>
      <c r="J90" s="33">
        <v>0.1875</v>
      </c>
      <c r="K90" s="34">
        <v>5.333333333333333</v>
      </c>
      <c r="L90" s="35"/>
      <c r="N90" s="27">
        <v>4</v>
      </c>
      <c r="O90" s="27">
        <v>3</v>
      </c>
      <c r="P90" s="27">
        <v>3</v>
      </c>
      <c r="Q90" s="27">
        <v>3</v>
      </c>
      <c r="R90" s="27">
        <v>3</v>
      </c>
      <c r="S90" s="27">
        <v>3</v>
      </c>
      <c r="T90" s="27">
        <v>3</v>
      </c>
      <c r="U90" s="27">
        <v>2</v>
      </c>
      <c r="V90" s="27">
        <v>2</v>
      </c>
      <c r="W90" s="27">
        <v>2</v>
      </c>
      <c r="X90" s="27">
        <v>2</v>
      </c>
      <c r="Y90" s="27">
        <v>2</v>
      </c>
      <c r="Z90" s="27">
        <v>2</v>
      </c>
      <c r="AA90" s="27">
        <v>2</v>
      </c>
      <c r="AB90" s="27">
        <v>2</v>
      </c>
      <c r="AC90" s="27">
        <v>2</v>
      </c>
      <c r="AD90" s="27">
        <v>2</v>
      </c>
      <c r="AE90" s="27">
        <v>2</v>
      </c>
      <c r="AF90" s="27">
        <v>2</v>
      </c>
      <c r="AG90" s="27">
        <v>2</v>
      </c>
    </row>
    <row r="91" spans="2:33" x14ac:dyDescent="0.2">
      <c r="B91" t="s">
        <v>154</v>
      </c>
      <c r="C91" t="str">
        <f t="shared" ref="C91:C154" si="0">D91&amp;" L"&amp;E91</f>
        <v>Ballista L0</v>
      </c>
      <c r="D91" s="1" t="s">
        <v>241</v>
      </c>
      <c r="E91" s="2">
        <v>0</v>
      </c>
      <c r="F91" s="18">
        <v>1</v>
      </c>
      <c r="G91" s="48">
        <v>11</v>
      </c>
      <c r="H91" s="48"/>
      <c r="I91" s="49">
        <v>11</v>
      </c>
      <c r="J91" s="24">
        <v>0.34375</v>
      </c>
      <c r="K91" s="22">
        <v>2.9090909090909092</v>
      </c>
      <c r="N91">
        <v>7</v>
      </c>
      <c r="O91">
        <v>6</v>
      </c>
      <c r="P91">
        <v>6</v>
      </c>
      <c r="Q91">
        <v>5</v>
      </c>
      <c r="R91">
        <v>5</v>
      </c>
      <c r="S91">
        <v>4</v>
      </c>
      <c r="T91">
        <v>4</v>
      </c>
      <c r="U91">
        <v>4</v>
      </c>
      <c r="V91">
        <v>3</v>
      </c>
      <c r="W91">
        <v>3</v>
      </c>
      <c r="X91">
        <v>3</v>
      </c>
      <c r="Y91">
        <v>2</v>
      </c>
      <c r="Z91">
        <v>2</v>
      </c>
      <c r="AA91">
        <v>2</v>
      </c>
      <c r="AB91">
        <v>2</v>
      </c>
      <c r="AC91">
        <v>2</v>
      </c>
      <c r="AD91">
        <v>2</v>
      </c>
      <c r="AE91">
        <v>2</v>
      </c>
      <c r="AF91">
        <v>2</v>
      </c>
      <c r="AG91">
        <v>2</v>
      </c>
    </row>
    <row r="92" spans="2:33" x14ac:dyDescent="0.2">
      <c r="B92" t="s">
        <v>154</v>
      </c>
      <c r="C92" t="str">
        <f t="shared" si="0"/>
        <v>Ballista L1</v>
      </c>
      <c r="D92" s="1" t="s">
        <v>241</v>
      </c>
      <c r="E92" s="2">
        <v>1</v>
      </c>
      <c r="F92" s="18">
        <v>1</v>
      </c>
      <c r="G92" s="50">
        <v>20</v>
      </c>
      <c r="H92" s="50"/>
      <c r="I92" s="49">
        <v>20</v>
      </c>
      <c r="J92" s="24">
        <v>0.625</v>
      </c>
      <c r="K92" s="22">
        <v>1.6</v>
      </c>
      <c r="N92">
        <v>15</v>
      </c>
      <c r="O92">
        <v>13</v>
      </c>
      <c r="P92">
        <v>12</v>
      </c>
      <c r="Q92">
        <v>11</v>
      </c>
      <c r="R92">
        <v>10</v>
      </c>
      <c r="S92">
        <v>9</v>
      </c>
      <c r="T92">
        <v>8</v>
      </c>
      <c r="U92">
        <v>7</v>
      </c>
      <c r="V92">
        <v>6</v>
      </c>
      <c r="W92">
        <v>5</v>
      </c>
      <c r="X92">
        <v>4</v>
      </c>
      <c r="Y92">
        <v>4</v>
      </c>
      <c r="Z92">
        <v>3</v>
      </c>
      <c r="AA92">
        <v>3</v>
      </c>
      <c r="AB92">
        <v>2</v>
      </c>
      <c r="AC92">
        <v>2</v>
      </c>
      <c r="AD92">
        <v>2</v>
      </c>
      <c r="AE92">
        <v>2</v>
      </c>
      <c r="AF92">
        <v>2</v>
      </c>
      <c r="AG92">
        <v>2</v>
      </c>
    </row>
    <row r="93" spans="2:33" outlineLevel="1" x14ac:dyDescent="0.2">
      <c r="B93" t="s">
        <v>154</v>
      </c>
      <c r="C93" t="str">
        <f t="shared" si="0"/>
        <v>Ballista L2</v>
      </c>
      <c r="D93" s="1" t="s">
        <v>241</v>
      </c>
      <c r="E93" s="2">
        <v>2</v>
      </c>
      <c r="F93" s="18">
        <v>1</v>
      </c>
      <c r="G93" s="48">
        <v>36</v>
      </c>
      <c r="H93" s="48"/>
      <c r="I93" s="49">
        <v>36</v>
      </c>
      <c r="J93" s="24">
        <v>1.125</v>
      </c>
      <c r="K93" s="22">
        <v>0.88888888888888884</v>
      </c>
      <c r="N93">
        <v>23</v>
      </c>
      <c r="O93">
        <v>26</v>
      </c>
      <c r="P93">
        <v>24</v>
      </c>
      <c r="Q93">
        <v>21</v>
      </c>
      <c r="R93">
        <v>20</v>
      </c>
      <c r="S93">
        <v>17</v>
      </c>
      <c r="T93">
        <v>15</v>
      </c>
      <c r="U93">
        <v>12</v>
      </c>
      <c r="V93">
        <v>10</v>
      </c>
      <c r="W93">
        <v>9</v>
      </c>
      <c r="X93">
        <v>7</v>
      </c>
      <c r="Y93">
        <v>6</v>
      </c>
      <c r="Z93">
        <v>5</v>
      </c>
      <c r="AA93">
        <v>4</v>
      </c>
      <c r="AB93">
        <v>3</v>
      </c>
      <c r="AC93">
        <v>3</v>
      </c>
      <c r="AD93">
        <v>2</v>
      </c>
      <c r="AE93">
        <v>2</v>
      </c>
      <c r="AF93">
        <v>2</v>
      </c>
      <c r="AG93">
        <v>2</v>
      </c>
    </row>
    <row r="94" spans="2:33" outlineLevel="1" x14ac:dyDescent="0.2">
      <c r="B94" t="s">
        <v>154</v>
      </c>
      <c r="C94" t="str">
        <f t="shared" si="0"/>
        <v>Ballista L3</v>
      </c>
      <c r="D94" s="1" t="s">
        <v>241</v>
      </c>
      <c r="E94" s="2">
        <v>3</v>
      </c>
      <c r="F94" s="18">
        <v>1</v>
      </c>
      <c r="G94" s="48">
        <v>65</v>
      </c>
      <c r="H94" s="48"/>
      <c r="I94" s="49">
        <v>65</v>
      </c>
      <c r="J94" s="24">
        <v>2.03125</v>
      </c>
      <c r="K94" s="22">
        <v>0.49230769230769234</v>
      </c>
      <c r="N94">
        <v>46</v>
      </c>
      <c r="O94">
        <v>42</v>
      </c>
      <c r="P94">
        <v>47</v>
      </c>
      <c r="Q94">
        <v>42</v>
      </c>
      <c r="R94">
        <v>38</v>
      </c>
      <c r="S94">
        <v>33</v>
      </c>
      <c r="T94">
        <v>29</v>
      </c>
      <c r="U94">
        <v>24</v>
      </c>
      <c r="V94">
        <v>20</v>
      </c>
      <c r="W94">
        <v>17</v>
      </c>
      <c r="X94">
        <v>13</v>
      </c>
      <c r="Y94">
        <v>10</v>
      </c>
      <c r="Z94">
        <v>8</v>
      </c>
      <c r="AA94">
        <v>6</v>
      </c>
      <c r="AB94">
        <v>5</v>
      </c>
      <c r="AC94">
        <v>4</v>
      </c>
      <c r="AD94">
        <v>3</v>
      </c>
      <c r="AE94">
        <v>3</v>
      </c>
      <c r="AF94">
        <v>2</v>
      </c>
      <c r="AG94">
        <v>2</v>
      </c>
    </row>
    <row r="95" spans="2:33" outlineLevel="1" x14ac:dyDescent="0.2">
      <c r="B95" t="s">
        <v>154</v>
      </c>
      <c r="C95" t="str">
        <f t="shared" si="0"/>
        <v>Ballista L4</v>
      </c>
      <c r="D95" s="1" t="s">
        <v>241</v>
      </c>
      <c r="E95" s="2">
        <v>4</v>
      </c>
      <c r="F95" s="18">
        <v>1</v>
      </c>
      <c r="G95" s="48">
        <v>117</v>
      </c>
      <c r="H95" s="48"/>
      <c r="I95" s="49">
        <v>117</v>
      </c>
      <c r="J95" s="24">
        <v>3.65625</v>
      </c>
      <c r="K95" s="22">
        <v>0.27350427350427353</v>
      </c>
      <c r="N95">
        <v>91</v>
      </c>
      <c r="O95">
        <v>83</v>
      </c>
      <c r="P95">
        <v>75</v>
      </c>
      <c r="Q95">
        <v>83</v>
      </c>
      <c r="R95">
        <v>75</v>
      </c>
      <c r="S95">
        <v>65</v>
      </c>
      <c r="T95">
        <v>56</v>
      </c>
      <c r="U95">
        <v>47</v>
      </c>
      <c r="V95">
        <v>39</v>
      </c>
      <c r="W95">
        <v>32</v>
      </c>
      <c r="X95">
        <v>25</v>
      </c>
      <c r="Y95">
        <v>20</v>
      </c>
      <c r="Z95">
        <v>16</v>
      </c>
      <c r="AA95">
        <v>11</v>
      </c>
      <c r="AB95">
        <v>9</v>
      </c>
      <c r="AC95">
        <v>6</v>
      </c>
      <c r="AD95">
        <v>5</v>
      </c>
      <c r="AE95">
        <v>4</v>
      </c>
      <c r="AF95">
        <v>3</v>
      </c>
      <c r="AG95">
        <v>3</v>
      </c>
    </row>
    <row r="96" spans="2:33" outlineLevel="1" x14ac:dyDescent="0.2">
      <c r="B96" t="s">
        <v>154</v>
      </c>
      <c r="C96" t="str">
        <f t="shared" si="0"/>
        <v>Ballista L5</v>
      </c>
      <c r="D96" s="1" t="s">
        <v>241</v>
      </c>
      <c r="E96" s="2">
        <v>5</v>
      </c>
      <c r="F96" s="18">
        <v>1</v>
      </c>
      <c r="G96" s="48">
        <v>210</v>
      </c>
      <c r="H96" s="48"/>
      <c r="I96" s="49">
        <v>210</v>
      </c>
      <c r="J96" s="24">
        <v>6.5625</v>
      </c>
      <c r="K96" s="22">
        <v>0.15238095238095239</v>
      </c>
      <c r="N96">
        <v>181</v>
      </c>
      <c r="O96">
        <v>165</v>
      </c>
      <c r="P96">
        <v>150</v>
      </c>
      <c r="Q96">
        <v>137</v>
      </c>
      <c r="R96">
        <v>149</v>
      </c>
      <c r="S96">
        <v>130</v>
      </c>
      <c r="T96">
        <v>111</v>
      </c>
      <c r="U96">
        <v>94</v>
      </c>
      <c r="V96">
        <v>77</v>
      </c>
      <c r="W96">
        <v>62</v>
      </c>
      <c r="X96">
        <v>49</v>
      </c>
      <c r="Y96">
        <v>38</v>
      </c>
      <c r="Z96">
        <v>30</v>
      </c>
      <c r="AA96">
        <v>22</v>
      </c>
      <c r="AB96">
        <v>17</v>
      </c>
      <c r="AC96">
        <v>12</v>
      </c>
      <c r="AD96">
        <v>8</v>
      </c>
      <c r="AE96">
        <v>6</v>
      </c>
      <c r="AF96">
        <v>5</v>
      </c>
      <c r="AG96">
        <v>4</v>
      </c>
    </row>
    <row r="97" spans="2:33" outlineLevel="1" x14ac:dyDescent="0.2">
      <c r="B97" t="s">
        <v>154</v>
      </c>
      <c r="C97" t="str">
        <f t="shared" si="0"/>
        <v>Ballista L6</v>
      </c>
      <c r="D97" s="1" t="s">
        <v>241</v>
      </c>
      <c r="E97" s="2">
        <v>6</v>
      </c>
      <c r="F97" s="18">
        <v>1</v>
      </c>
      <c r="G97" s="48">
        <v>378</v>
      </c>
      <c r="H97" s="48"/>
      <c r="I97" s="49">
        <v>378</v>
      </c>
      <c r="J97" s="24">
        <v>11.8125</v>
      </c>
      <c r="K97" s="22">
        <v>8.4656084656084651E-2</v>
      </c>
      <c r="N97">
        <v>361</v>
      </c>
      <c r="O97">
        <v>329</v>
      </c>
      <c r="P97">
        <v>298</v>
      </c>
      <c r="Q97">
        <v>271</v>
      </c>
      <c r="R97">
        <v>246</v>
      </c>
      <c r="S97">
        <v>258</v>
      </c>
      <c r="T97">
        <v>221</v>
      </c>
      <c r="U97">
        <v>186</v>
      </c>
      <c r="V97">
        <v>152</v>
      </c>
      <c r="W97">
        <v>123</v>
      </c>
      <c r="X97">
        <v>97</v>
      </c>
      <c r="Y97">
        <v>75</v>
      </c>
      <c r="Z97">
        <v>57</v>
      </c>
      <c r="AA97">
        <v>43</v>
      </c>
      <c r="AB97">
        <v>31</v>
      </c>
      <c r="AC97">
        <v>22</v>
      </c>
      <c r="AD97">
        <v>16</v>
      </c>
      <c r="AE97">
        <v>11</v>
      </c>
      <c r="AF97">
        <v>7</v>
      </c>
      <c r="AG97">
        <v>5</v>
      </c>
    </row>
    <row r="98" spans="2:33" outlineLevel="1" x14ac:dyDescent="0.2">
      <c r="B98" t="s">
        <v>154</v>
      </c>
      <c r="C98" t="str">
        <f t="shared" si="0"/>
        <v>Ballista L7</v>
      </c>
      <c r="D98" s="1" t="s">
        <v>241</v>
      </c>
      <c r="E98" s="2">
        <v>7</v>
      </c>
      <c r="F98" s="18">
        <v>1</v>
      </c>
      <c r="G98" s="48">
        <v>680</v>
      </c>
      <c r="H98" s="48"/>
      <c r="I98" s="49">
        <v>680</v>
      </c>
      <c r="J98" s="24">
        <v>21.25</v>
      </c>
      <c r="K98" s="22">
        <v>4.7058823529411764E-2</v>
      </c>
      <c r="N98">
        <v>722</v>
      </c>
      <c r="O98">
        <v>657</v>
      </c>
      <c r="P98">
        <v>597</v>
      </c>
      <c r="Q98">
        <v>542</v>
      </c>
      <c r="R98">
        <v>493</v>
      </c>
      <c r="S98">
        <v>449</v>
      </c>
      <c r="T98">
        <v>442</v>
      </c>
      <c r="U98">
        <v>371</v>
      </c>
      <c r="V98">
        <v>305</v>
      </c>
      <c r="W98">
        <v>245</v>
      </c>
      <c r="X98">
        <v>193</v>
      </c>
      <c r="Y98">
        <v>150</v>
      </c>
      <c r="Z98">
        <v>114</v>
      </c>
      <c r="AA98">
        <v>85</v>
      </c>
      <c r="AB98">
        <v>62</v>
      </c>
      <c r="AC98">
        <v>44</v>
      </c>
      <c r="AD98">
        <v>31</v>
      </c>
      <c r="AE98">
        <v>21</v>
      </c>
      <c r="AF98">
        <v>15</v>
      </c>
      <c r="AG98">
        <v>10</v>
      </c>
    </row>
    <row r="99" spans="2:33" outlineLevel="1" x14ac:dyDescent="0.2">
      <c r="B99" t="s">
        <v>154</v>
      </c>
      <c r="C99" t="str">
        <f t="shared" si="0"/>
        <v>Ballista L8</v>
      </c>
      <c r="D99" s="1" t="s">
        <v>241</v>
      </c>
      <c r="E99" s="2">
        <v>8</v>
      </c>
      <c r="F99" s="18">
        <v>1</v>
      </c>
      <c r="G99" s="48">
        <v>1224</v>
      </c>
      <c r="H99" s="48"/>
      <c r="I99" s="49">
        <v>1224</v>
      </c>
      <c r="J99" s="24">
        <v>38.25</v>
      </c>
      <c r="K99" s="22">
        <v>2.6143790849673203E-2</v>
      </c>
      <c r="N99">
        <v>1443</v>
      </c>
      <c r="O99">
        <v>1312</v>
      </c>
      <c r="P99">
        <v>1193</v>
      </c>
      <c r="Q99">
        <v>1085</v>
      </c>
      <c r="R99">
        <v>986</v>
      </c>
      <c r="S99">
        <v>896</v>
      </c>
      <c r="T99">
        <v>815</v>
      </c>
      <c r="U99">
        <v>741</v>
      </c>
      <c r="V99">
        <v>609</v>
      </c>
      <c r="W99">
        <v>490</v>
      </c>
      <c r="X99">
        <v>387</v>
      </c>
      <c r="Y99">
        <v>299</v>
      </c>
      <c r="Z99">
        <v>227</v>
      </c>
      <c r="AA99">
        <v>168</v>
      </c>
      <c r="AB99">
        <v>123</v>
      </c>
      <c r="AC99">
        <v>88</v>
      </c>
      <c r="AD99">
        <v>61</v>
      </c>
      <c r="AE99">
        <v>43</v>
      </c>
      <c r="AF99">
        <v>29</v>
      </c>
      <c r="AG99">
        <v>19</v>
      </c>
    </row>
    <row r="100" spans="2:33" outlineLevel="1" x14ac:dyDescent="0.2">
      <c r="B100" t="s">
        <v>154</v>
      </c>
      <c r="C100" t="str">
        <f t="shared" si="0"/>
        <v>Ballista L9</v>
      </c>
      <c r="D100" s="1" t="s">
        <v>241</v>
      </c>
      <c r="E100" s="2">
        <v>9</v>
      </c>
      <c r="F100" s="18">
        <v>1</v>
      </c>
      <c r="G100" s="48">
        <v>2204</v>
      </c>
      <c r="H100" s="48"/>
      <c r="I100" s="49">
        <v>2204</v>
      </c>
      <c r="J100" s="24">
        <v>68.875</v>
      </c>
      <c r="K100" s="22">
        <v>1.4519056261343012E-2</v>
      </c>
      <c r="N100">
        <v>2609</v>
      </c>
      <c r="O100">
        <v>2372</v>
      </c>
      <c r="P100">
        <v>2156</v>
      </c>
      <c r="Q100">
        <v>1960</v>
      </c>
      <c r="R100">
        <v>1783</v>
      </c>
      <c r="S100">
        <v>1620</v>
      </c>
      <c r="T100">
        <v>1473</v>
      </c>
      <c r="U100">
        <v>1339</v>
      </c>
      <c r="V100">
        <v>1217</v>
      </c>
      <c r="W100">
        <v>981</v>
      </c>
      <c r="X100">
        <v>774</v>
      </c>
      <c r="Y100">
        <v>598</v>
      </c>
      <c r="Z100">
        <v>453</v>
      </c>
      <c r="AA100">
        <v>337</v>
      </c>
      <c r="AB100">
        <v>245</v>
      </c>
      <c r="AC100">
        <v>175</v>
      </c>
      <c r="AD100">
        <v>123</v>
      </c>
      <c r="AE100">
        <v>84</v>
      </c>
      <c r="AF100">
        <v>57</v>
      </c>
      <c r="AG100">
        <v>37</v>
      </c>
    </row>
    <row r="101" spans="2:33" outlineLevel="1" x14ac:dyDescent="0.2">
      <c r="B101" t="s">
        <v>154</v>
      </c>
      <c r="C101" t="str">
        <f t="shared" si="0"/>
        <v>Ballista L10</v>
      </c>
      <c r="D101" s="1" t="s">
        <v>241</v>
      </c>
      <c r="E101" s="2">
        <v>10</v>
      </c>
      <c r="F101" s="18">
        <v>1</v>
      </c>
      <c r="G101" s="48">
        <v>3967</v>
      </c>
      <c r="H101" s="48"/>
      <c r="I101" s="49">
        <v>3967</v>
      </c>
      <c r="J101" s="24">
        <v>123.96875</v>
      </c>
      <c r="K101" s="22">
        <v>8.0665490294933202E-3</v>
      </c>
      <c r="N101">
        <v>4622</v>
      </c>
      <c r="O101">
        <v>4202</v>
      </c>
      <c r="P101">
        <v>3820</v>
      </c>
      <c r="Q101">
        <v>3473</v>
      </c>
      <c r="R101">
        <v>3157</v>
      </c>
      <c r="S101">
        <v>2870</v>
      </c>
      <c r="T101">
        <v>2609</v>
      </c>
      <c r="U101">
        <v>2372</v>
      </c>
      <c r="V101">
        <v>2156</v>
      </c>
      <c r="W101">
        <v>1960</v>
      </c>
      <c r="X101">
        <v>1547</v>
      </c>
      <c r="Y101">
        <v>1196</v>
      </c>
      <c r="Z101">
        <v>907</v>
      </c>
      <c r="AA101">
        <v>674</v>
      </c>
      <c r="AB101">
        <v>490</v>
      </c>
      <c r="AC101">
        <v>350</v>
      </c>
      <c r="AD101">
        <v>245</v>
      </c>
      <c r="AE101">
        <v>168</v>
      </c>
      <c r="AF101">
        <v>113</v>
      </c>
      <c r="AG101">
        <v>74</v>
      </c>
    </row>
    <row r="102" spans="2:33" outlineLevel="1" x14ac:dyDescent="0.2">
      <c r="B102" t="s">
        <v>154</v>
      </c>
      <c r="C102" t="str">
        <f t="shared" si="0"/>
        <v>Ballista L11</v>
      </c>
      <c r="D102" s="1" t="s">
        <v>241</v>
      </c>
      <c r="E102" s="2">
        <v>11</v>
      </c>
      <c r="F102" s="18">
        <v>1</v>
      </c>
      <c r="G102" s="48">
        <v>7141</v>
      </c>
      <c r="H102" s="48"/>
      <c r="I102" s="49">
        <v>7141</v>
      </c>
      <c r="J102" s="24">
        <v>223.15625</v>
      </c>
      <c r="K102" s="22">
        <v>4.4811651029267614E-3</v>
      </c>
      <c r="N102">
        <v>8025</v>
      </c>
      <c r="O102">
        <v>7295</v>
      </c>
      <c r="P102">
        <v>6632</v>
      </c>
      <c r="Q102">
        <v>6029</v>
      </c>
      <c r="R102">
        <v>5481</v>
      </c>
      <c r="S102">
        <v>4983</v>
      </c>
      <c r="T102">
        <v>4530</v>
      </c>
      <c r="U102">
        <v>4118</v>
      </c>
      <c r="V102">
        <v>3743</v>
      </c>
      <c r="W102">
        <v>3403</v>
      </c>
      <c r="X102">
        <v>3094</v>
      </c>
      <c r="Y102">
        <v>2392</v>
      </c>
      <c r="Z102">
        <v>1814</v>
      </c>
      <c r="AA102">
        <v>1347</v>
      </c>
      <c r="AB102">
        <v>981</v>
      </c>
      <c r="AC102">
        <v>699</v>
      </c>
      <c r="AD102">
        <v>489</v>
      </c>
      <c r="AE102">
        <v>335</v>
      </c>
      <c r="AF102">
        <v>225</v>
      </c>
      <c r="AG102">
        <v>149</v>
      </c>
    </row>
    <row r="103" spans="2:33" outlineLevel="1" x14ac:dyDescent="0.2">
      <c r="B103" t="s">
        <v>154</v>
      </c>
      <c r="C103" t="str">
        <f t="shared" si="0"/>
        <v>Ballista L12</v>
      </c>
      <c r="D103" s="1" t="s">
        <v>241</v>
      </c>
      <c r="E103" s="2">
        <v>12</v>
      </c>
      <c r="F103" s="18">
        <v>1</v>
      </c>
      <c r="G103" s="48">
        <v>12854</v>
      </c>
      <c r="H103" s="48"/>
      <c r="I103" s="49">
        <v>12854</v>
      </c>
      <c r="J103" s="24">
        <v>401.6875</v>
      </c>
      <c r="K103" s="22">
        <v>2.4894974327057725E-3</v>
      </c>
      <c r="N103">
        <v>13652</v>
      </c>
      <c r="O103">
        <v>12411</v>
      </c>
      <c r="P103">
        <v>11282</v>
      </c>
      <c r="Q103">
        <v>10256</v>
      </c>
      <c r="R103">
        <v>9325</v>
      </c>
      <c r="S103">
        <v>8476</v>
      </c>
      <c r="T103">
        <v>7706</v>
      </c>
      <c r="U103">
        <v>7005</v>
      </c>
      <c r="V103">
        <v>6369</v>
      </c>
      <c r="W103">
        <v>5790</v>
      </c>
      <c r="X103">
        <v>5263</v>
      </c>
      <c r="Y103">
        <v>4786</v>
      </c>
      <c r="Z103">
        <v>3626</v>
      </c>
      <c r="AA103">
        <v>2694</v>
      </c>
      <c r="AB103">
        <v>1961</v>
      </c>
      <c r="AC103">
        <v>1399</v>
      </c>
      <c r="AD103">
        <v>978</v>
      </c>
      <c r="AE103">
        <v>670</v>
      </c>
      <c r="AF103">
        <v>450</v>
      </c>
      <c r="AG103">
        <v>296</v>
      </c>
    </row>
    <row r="104" spans="2:33" outlineLevel="1" x14ac:dyDescent="0.2">
      <c r="B104" t="s">
        <v>154</v>
      </c>
      <c r="C104" t="str">
        <f t="shared" si="0"/>
        <v>Ballista L13</v>
      </c>
      <c r="D104" s="1" t="s">
        <v>241</v>
      </c>
      <c r="E104" s="2">
        <v>13</v>
      </c>
      <c r="F104" s="18">
        <v>1</v>
      </c>
      <c r="G104" s="48">
        <v>23137</v>
      </c>
      <c r="H104" s="48"/>
      <c r="I104" s="49">
        <v>23137</v>
      </c>
      <c r="J104" s="24">
        <v>723.03125</v>
      </c>
      <c r="K104" s="22">
        <v>1.3830660846263561E-3</v>
      </c>
      <c r="N104">
        <v>22761</v>
      </c>
      <c r="O104">
        <v>20692</v>
      </c>
      <c r="P104">
        <v>18811</v>
      </c>
      <c r="Q104">
        <v>17101</v>
      </c>
      <c r="R104">
        <v>15546</v>
      </c>
      <c r="S104">
        <v>14134</v>
      </c>
      <c r="T104">
        <v>12849</v>
      </c>
      <c r="U104">
        <v>11681</v>
      </c>
      <c r="V104">
        <v>10618</v>
      </c>
      <c r="W104">
        <v>9653</v>
      </c>
      <c r="X104">
        <v>8775</v>
      </c>
      <c r="Y104">
        <v>7978</v>
      </c>
      <c r="Z104">
        <v>7252</v>
      </c>
      <c r="AA104">
        <v>5387</v>
      </c>
      <c r="AB104">
        <v>3921</v>
      </c>
      <c r="AC104">
        <v>2797</v>
      </c>
      <c r="AD104">
        <v>1956</v>
      </c>
      <c r="AE104">
        <v>1339</v>
      </c>
      <c r="AF104">
        <v>900</v>
      </c>
      <c r="AG104">
        <v>592</v>
      </c>
    </row>
    <row r="105" spans="2:33" outlineLevel="1" x14ac:dyDescent="0.2">
      <c r="B105" t="s">
        <v>154</v>
      </c>
      <c r="C105" t="str">
        <f t="shared" si="0"/>
        <v>Ballista L14</v>
      </c>
      <c r="D105" s="1" t="s">
        <v>241</v>
      </c>
      <c r="E105" s="2">
        <v>14</v>
      </c>
      <c r="F105" s="18">
        <v>1</v>
      </c>
      <c r="G105" s="48">
        <v>41646</v>
      </c>
      <c r="H105" s="48"/>
      <c r="I105" s="49">
        <v>41646</v>
      </c>
      <c r="J105" s="24">
        <v>1301.4375</v>
      </c>
      <c r="K105" s="22">
        <v>7.6838111703404885E-4</v>
      </c>
      <c r="N105">
        <v>37191</v>
      </c>
      <c r="O105">
        <v>33810</v>
      </c>
      <c r="P105">
        <v>30737</v>
      </c>
      <c r="Q105">
        <v>27943</v>
      </c>
      <c r="R105">
        <v>25402</v>
      </c>
      <c r="S105">
        <v>23093</v>
      </c>
      <c r="T105">
        <v>20993</v>
      </c>
      <c r="U105">
        <v>19086</v>
      </c>
      <c r="V105">
        <v>17350</v>
      </c>
      <c r="W105">
        <v>15773</v>
      </c>
      <c r="X105">
        <v>14339</v>
      </c>
      <c r="Y105">
        <v>13035</v>
      </c>
      <c r="Z105">
        <v>11851</v>
      </c>
      <c r="AA105">
        <v>10773</v>
      </c>
      <c r="AB105">
        <v>7842</v>
      </c>
      <c r="AC105">
        <v>5594</v>
      </c>
      <c r="AD105">
        <v>3910</v>
      </c>
      <c r="AE105">
        <v>2678</v>
      </c>
      <c r="AF105">
        <v>1799</v>
      </c>
      <c r="AG105">
        <v>1183</v>
      </c>
    </row>
    <row r="106" spans="2:33" outlineLevel="1" x14ac:dyDescent="0.2">
      <c r="B106" t="s">
        <v>154</v>
      </c>
      <c r="C106" t="str">
        <f t="shared" si="0"/>
        <v>Ballista L15</v>
      </c>
      <c r="D106" s="1" t="s">
        <v>241</v>
      </c>
      <c r="E106" s="2">
        <v>15</v>
      </c>
      <c r="F106" s="18">
        <v>1</v>
      </c>
      <c r="G106" s="48">
        <v>74963</v>
      </c>
      <c r="H106" s="48"/>
      <c r="I106" s="49">
        <v>74963</v>
      </c>
      <c r="J106" s="24">
        <v>2342.59375</v>
      </c>
      <c r="K106" s="22">
        <v>4.2687725944799432E-4</v>
      </c>
      <c r="N106">
        <v>59555</v>
      </c>
      <c r="O106">
        <v>54140</v>
      </c>
      <c r="P106">
        <v>49218</v>
      </c>
      <c r="Q106">
        <v>44744</v>
      </c>
      <c r="R106">
        <v>40676</v>
      </c>
      <c r="S106">
        <v>36979</v>
      </c>
      <c r="T106">
        <v>33617</v>
      </c>
      <c r="U106">
        <v>30561</v>
      </c>
      <c r="V106">
        <v>27783</v>
      </c>
      <c r="W106">
        <v>25257</v>
      </c>
      <c r="X106">
        <v>22961</v>
      </c>
      <c r="Y106">
        <v>20874</v>
      </c>
      <c r="Z106">
        <v>18976</v>
      </c>
      <c r="AA106">
        <v>17251</v>
      </c>
      <c r="AB106">
        <v>15683</v>
      </c>
      <c r="AC106">
        <v>11187</v>
      </c>
      <c r="AD106">
        <v>7820</v>
      </c>
      <c r="AE106">
        <v>5358</v>
      </c>
      <c r="AF106">
        <v>3597</v>
      </c>
      <c r="AG106">
        <v>2366</v>
      </c>
    </row>
    <row r="107" spans="2:33" outlineLevel="1" x14ac:dyDescent="0.2">
      <c r="B107" t="s">
        <v>154</v>
      </c>
      <c r="C107" t="str">
        <f t="shared" si="0"/>
        <v>Ballista L16</v>
      </c>
      <c r="D107" s="1" t="s">
        <v>241</v>
      </c>
      <c r="E107" s="2">
        <v>16</v>
      </c>
      <c r="F107" s="18">
        <v>1</v>
      </c>
      <c r="G107" s="48">
        <v>134933</v>
      </c>
      <c r="H107" s="48"/>
      <c r="I107" s="49">
        <v>134933</v>
      </c>
      <c r="J107" s="24">
        <v>4216.65625</v>
      </c>
      <c r="K107" s="22">
        <v>2.3715473605418985E-4</v>
      </c>
      <c r="N107">
        <v>93456</v>
      </c>
      <c r="O107">
        <v>84961</v>
      </c>
      <c r="P107">
        <v>77237</v>
      </c>
      <c r="Q107">
        <v>70216</v>
      </c>
      <c r="R107">
        <v>63832</v>
      </c>
      <c r="S107">
        <v>58029</v>
      </c>
      <c r="T107">
        <v>52753</v>
      </c>
      <c r="U107">
        <v>47959</v>
      </c>
      <c r="V107">
        <v>43598</v>
      </c>
      <c r="W107">
        <v>39635</v>
      </c>
      <c r="X107">
        <v>36032</v>
      </c>
      <c r="Y107">
        <v>32756</v>
      </c>
      <c r="Z107">
        <v>29778</v>
      </c>
      <c r="AA107">
        <v>27071</v>
      </c>
      <c r="AB107">
        <v>24611</v>
      </c>
      <c r="AC107">
        <v>22373</v>
      </c>
      <c r="AD107">
        <v>15639</v>
      </c>
      <c r="AE107">
        <v>10715</v>
      </c>
      <c r="AF107">
        <v>7194</v>
      </c>
      <c r="AG107">
        <v>4732</v>
      </c>
    </row>
    <row r="108" spans="2:33" outlineLevel="1" x14ac:dyDescent="0.2">
      <c r="B108" t="s">
        <v>154</v>
      </c>
      <c r="C108" t="str">
        <f t="shared" si="0"/>
        <v>Ballista L17</v>
      </c>
      <c r="D108" s="1" t="s">
        <v>241</v>
      </c>
      <c r="E108" s="2">
        <v>17</v>
      </c>
      <c r="F108" s="18">
        <v>1</v>
      </c>
      <c r="G108" s="48">
        <v>242879</v>
      </c>
      <c r="H108" s="48"/>
      <c r="I108" s="49">
        <v>242879</v>
      </c>
      <c r="J108" s="24">
        <v>7589.96875</v>
      </c>
      <c r="K108" s="22">
        <v>1.317528481260216E-4</v>
      </c>
      <c r="N108">
        <v>143725</v>
      </c>
      <c r="O108">
        <v>130659</v>
      </c>
      <c r="P108">
        <v>118780</v>
      </c>
      <c r="Q108">
        <v>107983</v>
      </c>
      <c r="R108">
        <v>98166</v>
      </c>
      <c r="S108">
        <v>89242</v>
      </c>
      <c r="T108">
        <v>81129</v>
      </c>
      <c r="U108">
        <v>73754</v>
      </c>
      <c r="V108">
        <v>67049</v>
      </c>
      <c r="W108">
        <v>60953</v>
      </c>
      <c r="X108">
        <v>55412</v>
      </c>
      <c r="Y108">
        <v>50375</v>
      </c>
      <c r="Z108">
        <v>45795</v>
      </c>
      <c r="AA108">
        <v>41632</v>
      </c>
      <c r="AB108">
        <v>37848</v>
      </c>
      <c r="AC108">
        <v>34407</v>
      </c>
      <c r="AD108">
        <v>31280</v>
      </c>
      <c r="AE108">
        <v>21428</v>
      </c>
      <c r="AF108">
        <v>14386</v>
      </c>
      <c r="AG108">
        <v>9466</v>
      </c>
    </row>
    <row r="109" spans="2:33" outlineLevel="1" x14ac:dyDescent="0.2">
      <c r="B109" t="s">
        <v>154</v>
      </c>
      <c r="C109" t="str">
        <f t="shared" si="0"/>
        <v>Ballista L18</v>
      </c>
      <c r="D109" s="1" t="s">
        <v>241</v>
      </c>
      <c r="E109" s="2">
        <v>18</v>
      </c>
      <c r="F109" s="18">
        <v>1</v>
      </c>
      <c r="G109" s="48">
        <v>437182</v>
      </c>
      <c r="H109" s="48"/>
      <c r="I109" s="49">
        <v>437182</v>
      </c>
      <c r="J109" s="24">
        <v>13661.9375</v>
      </c>
      <c r="K109" s="22">
        <v>7.319606022205855E-5</v>
      </c>
      <c r="N109">
        <v>216611</v>
      </c>
      <c r="O109">
        <v>196919</v>
      </c>
      <c r="P109">
        <v>179018</v>
      </c>
      <c r="Q109">
        <v>162743</v>
      </c>
      <c r="R109">
        <v>147948</v>
      </c>
      <c r="S109">
        <v>134498</v>
      </c>
      <c r="T109">
        <v>122272</v>
      </c>
      <c r="U109">
        <v>111156</v>
      </c>
      <c r="V109">
        <v>101051</v>
      </c>
      <c r="W109">
        <v>91865</v>
      </c>
      <c r="X109">
        <v>83514</v>
      </c>
      <c r="Y109">
        <v>75922</v>
      </c>
      <c r="Z109">
        <v>69020</v>
      </c>
      <c r="AA109">
        <v>62745</v>
      </c>
      <c r="AB109">
        <v>57041</v>
      </c>
      <c r="AC109">
        <v>51855</v>
      </c>
      <c r="AD109">
        <v>47142</v>
      </c>
      <c r="AE109">
        <v>42856</v>
      </c>
      <c r="AF109">
        <v>28772</v>
      </c>
      <c r="AG109">
        <v>18930</v>
      </c>
    </row>
    <row r="110" spans="2:33" outlineLevel="1" x14ac:dyDescent="0.2">
      <c r="B110" t="s">
        <v>154</v>
      </c>
      <c r="C110" t="str">
        <f t="shared" si="0"/>
        <v>Ballista L19</v>
      </c>
      <c r="D110" s="1" t="s">
        <v>241</v>
      </c>
      <c r="E110" s="2">
        <v>19</v>
      </c>
      <c r="F110" s="18">
        <v>1</v>
      </c>
      <c r="G110" s="48">
        <v>786928</v>
      </c>
      <c r="H110" s="48"/>
      <c r="I110" s="49">
        <v>786928</v>
      </c>
      <c r="J110" s="24">
        <v>24591.5</v>
      </c>
      <c r="K110" s="22">
        <v>4.0664457231157106E-5</v>
      </c>
      <c r="N110">
        <v>319932</v>
      </c>
      <c r="O110">
        <v>290846</v>
      </c>
      <c r="P110">
        <v>264406</v>
      </c>
      <c r="Q110">
        <v>240369</v>
      </c>
      <c r="R110">
        <v>218517</v>
      </c>
      <c r="S110">
        <v>198652</v>
      </c>
      <c r="T110">
        <v>180593</v>
      </c>
      <c r="U110">
        <v>164175</v>
      </c>
      <c r="V110">
        <v>149250</v>
      </c>
      <c r="W110">
        <v>135683</v>
      </c>
      <c r="X110">
        <v>123348</v>
      </c>
      <c r="Y110">
        <v>112134</v>
      </c>
      <c r="Z110">
        <v>101940</v>
      </c>
      <c r="AA110">
        <v>92673</v>
      </c>
      <c r="AB110">
        <v>84248</v>
      </c>
      <c r="AC110">
        <v>76589</v>
      </c>
      <c r="AD110">
        <v>69626</v>
      </c>
      <c r="AE110">
        <v>63297</v>
      </c>
      <c r="AF110">
        <v>57543</v>
      </c>
      <c r="AG110">
        <v>37860</v>
      </c>
    </row>
    <row r="111" spans="2:33" outlineLevel="1" x14ac:dyDescent="0.2">
      <c r="B111" t="s">
        <v>154</v>
      </c>
      <c r="C111" t="str">
        <f t="shared" si="0"/>
        <v>Ballista L20</v>
      </c>
      <c r="D111" s="1" t="s">
        <v>241</v>
      </c>
      <c r="E111" s="2">
        <v>20</v>
      </c>
      <c r="F111" s="18">
        <v>1</v>
      </c>
      <c r="G111" s="48">
        <v>1416471</v>
      </c>
      <c r="H111" s="48"/>
      <c r="I111" s="49">
        <v>1416471</v>
      </c>
      <c r="J111" s="24">
        <v>44264.71875</v>
      </c>
      <c r="K111" s="22">
        <v>2.2591355558991325E-5</v>
      </c>
      <c r="N111">
        <v>463082</v>
      </c>
      <c r="O111">
        <v>420984</v>
      </c>
      <c r="P111">
        <v>382713</v>
      </c>
      <c r="Q111">
        <v>347921</v>
      </c>
      <c r="R111">
        <v>316292</v>
      </c>
      <c r="S111">
        <v>287538</v>
      </c>
      <c r="T111">
        <v>261398</v>
      </c>
      <c r="U111">
        <v>237635</v>
      </c>
      <c r="V111">
        <v>216031</v>
      </c>
      <c r="W111">
        <v>196393</v>
      </c>
      <c r="X111">
        <v>178539</v>
      </c>
      <c r="Y111">
        <v>162308</v>
      </c>
      <c r="Z111">
        <v>147553</v>
      </c>
      <c r="AA111">
        <v>134139</v>
      </c>
      <c r="AB111">
        <v>121945</v>
      </c>
      <c r="AC111">
        <v>110859</v>
      </c>
      <c r="AD111">
        <v>100781</v>
      </c>
      <c r="AE111">
        <v>91619</v>
      </c>
      <c r="AF111">
        <v>83290</v>
      </c>
      <c r="AG111">
        <v>75718</v>
      </c>
    </row>
    <row r="112" spans="2:33" s="27" customFormat="1" x14ac:dyDescent="0.2">
      <c r="B112" s="27" t="s">
        <v>154</v>
      </c>
      <c r="C112" s="27" t="str">
        <f t="shared" si="0"/>
        <v>DartTower L-1</v>
      </c>
      <c r="D112" s="29" t="s">
        <v>242</v>
      </c>
      <c r="E112" s="30">
        <v>-1</v>
      </c>
      <c r="F112" s="31">
        <v>1</v>
      </c>
      <c r="G112" s="46">
        <v>8</v>
      </c>
      <c r="H112" s="46"/>
      <c r="I112" s="47">
        <v>8</v>
      </c>
      <c r="J112" s="33">
        <v>0.25</v>
      </c>
      <c r="K112" s="34">
        <v>4</v>
      </c>
      <c r="L112" s="35"/>
      <c r="N112" s="27">
        <v>4</v>
      </c>
      <c r="O112" s="27">
        <v>3</v>
      </c>
      <c r="P112" s="27">
        <v>3</v>
      </c>
      <c r="Q112" s="27">
        <v>3</v>
      </c>
      <c r="R112" s="27">
        <v>3</v>
      </c>
      <c r="S112" s="27">
        <v>3</v>
      </c>
      <c r="T112" s="27">
        <v>3</v>
      </c>
      <c r="U112" s="27">
        <v>2</v>
      </c>
      <c r="V112" s="27">
        <v>2</v>
      </c>
      <c r="W112" s="27">
        <v>2</v>
      </c>
      <c r="X112" s="27">
        <v>2</v>
      </c>
      <c r="Y112" s="27">
        <v>2</v>
      </c>
      <c r="Z112" s="27">
        <v>2</v>
      </c>
      <c r="AA112" s="27">
        <v>2</v>
      </c>
      <c r="AB112" s="27">
        <v>2</v>
      </c>
      <c r="AC112" s="27">
        <v>2</v>
      </c>
      <c r="AD112" s="27">
        <v>2</v>
      </c>
      <c r="AE112" s="27">
        <v>2</v>
      </c>
      <c r="AF112" s="27">
        <v>2</v>
      </c>
      <c r="AG112" s="27">
        <v>2</v>
      </c>
    </row>
    <row r="113" spans="2:33" x14ac:dyDescent="0.2">
      <c r="B113" t="s">
        <v>154</v>
      </c>
      <c r="C113" t="str">
        <f t="shared" si="0"/>
        <v>DartTower L0</v>
      </c>
      <c r="D113" s="1" t="s">
        <v>242</v>
      </c>
      <c r="E113" s="2">
        <v>0</v>
      </c>
      <c r="F113" s="18">
        <v>1</v>
      </c>
      <c r="G113" s="48">
        <v>14</v>
      </c>
      <c r="H113" s="48"/>
      <c r="I113" s="49">
        <v>14</v>
      </c>
      <c r="J113" s="24">
        <v>0.4375</v>
      </c>
      <c r="K113" s="22">
        <v>2.2857142857142856</v>
      </c>
      <c r="N113">
        <v>7</v>
      </c>
      <c r="O113">
        <v>6</v>
      </c>
      <c r="P113">
        <v>6</v>
      </c>
      <c r="Q113">
        <v>5</v>
      </c>
      <c r="R113">
        <v>5</v>
      </c>
      <c r="S113">
        <v>4</v>
      </c>
      <c r="T113">
        <v>4</v>
      </c>
      <c r="U113">
        <v>4</v>
      </c>
      <c r="V113">
        <v>3</v>
      </c>
      <c r="W113">
        <v>3</v>
      </c>
      <c r="X113">
        <v>3</v>
      </c>
      <c r="Y113">
        <v>2</v>
      </c>
      <c r="Z113">
        <v>2</v>
      </c>
      <c r="AA113">
        <v>2</v>
      </c>
      <c r="AB113">
        <v>2</v>
      </c>
      <c r="AC113">
        <v>2</v>
      </c>
      <c r="AD113">
        <v>2</v>
      </c>
      <c r="AE113">
        <v>2</v>
      </c>
      <c r="AF113">
        <v>2</v>
      </c>
      <c r="AG113">
        <v>2</v>
      </c>
    </row>
    <row r="114" spans="2:33" x14ac:dyDescent="0.2">
      <c r="B114" t="s">
        <v>154</v>
      </c>
      <c r="C114" t="str">
        <f t="shared" si="0"/>
        <v>DartTower L1</v>
      </c>
      <c r="D114" s="1" t="s">
        <v>242</v>
      </c>
      <c r="E114" s="2">
        <v>1</v>
      </c>
      <c r="F114" s="18">
        <v>1</v>
      </c>
      <c r="G114" s="50">
        <v>25</v>
      </c>
      <c r="H114" s="50"/>
      <c r="I114" s="49">
        <v>25</v>
      </c>
      <c r="J114" s="24">
        <v>0.78125</v>
      </c>
      <c r="K114" s="22">
        <v>1.28</v>
      </c>
      <c r="N114">
        <v>15</v>
      </c>
      <c r="O114">
        <v>13</v>
      </c>
      <c r="P114">
        <v>12</v>
      </c>
      <c r="Q114">
        <v>11</v>
      </c>
      <c r="R114">
        <v>10</v>
      </c>
      <c r="S114">
        <v>9</v>
      </c>
      <c r="T114">
        <v>8</v>
      </c>
      <c r="U114">
        <v>7</v>
      </c>
      <c r="V114">
        <v>6</v>
      </c>
      <c r="W114">
        <v>5</v>
      </c>
      <c r="X114">
        <v>4</v>
      </c>
      <c r="Y114">
        <v>4</v>
      </c>
      <c r="Z114">
        <v>3</v>
      </c>
      <c r="AA114">
        <v>3</v>
      </c>
      <c r="AB114">
        <v>2</v>
      </c>
      <c r="AC114">
        <v>2</v>
      </c>
      <c r="AD114">
        <v>2</v>
      </c>
      <c r="AE114">
        <v>2</v>
      </c>
      <c r="AF114">
        <v>2</v>
      </c>
      <c r="AG114">
        <v>2</v>
      </c>
    </row>
    <row r="115" spans="2:33" outlineLevel="1" x14ac:dyDescent="0.2">
      <c r="B115" t="s">
        <v>154</v>
      </c>
      <c r="C115" t="str">
        <f t="shared" si="0"/>
        <v>DartTower L2</v>
      </c>
      <c r="D115" s="1" t="s">
        <v>242</v>
      </c>
      <c r="E115" s="2">
        <v>2</v>
      </c>
      <c r="F115" s="18">
        <v>1</v>
      </c>
      <c r="G115" s="48">
        <v>45</v>
      </c>
      <c r="H115" s="48"/>
      <c r="I115" s="49">
        <v>45</v>
      </c>
      <c r="J115" s="24">
        <v>1.40625</v>
      </c>
      <c r="K115" s="22">
        <v>0.71111111111111114</v>
      </c>
      <c r="N115">
        <v>23</v>
      </c>
      <c r="O115">
        <v>26</v>
      </c>
      <c r="P115">
        <v>24</v>
      </c>
      <c r="Q115">
        <v>21</v>
      </c>
      <c r="R115">
        <v>20</v>
      </c>
      <c r="S115">
        <v>17</v>
      </c>
      <c r="T115">
        <v>15</v>
      </c>
      <c r="U115">
        <v>12</v>
      </c>
      <c r="V115">
        <v>10</v>
      </c>
      <c r="W115">
        <v>9</v>
      </c>
      <c r="X115">
        <v>7</v>
      </c>
      <c r="Y115">
        <v>6</v>
      </c>
      <c r="Z115">
        <v>5</v>
      </c>
      <c r="AA115">
        <v>4</v>
      </c>
      <c r="AB115">
        <v>3</v>
      </c>
      <c r="AC115">
        <v>3</v>
      </c>
      <c r="AD115">
        <v>2</v>
      </c>
      <c r="AE115">
        <v>2</v>
      </c>
      <c r="AF115">
        <v>2</v>
      </c>
      <c r="AG115">
        <v>2</v>
      </c>
    </row>
    <row r="116" spans="2:33" outlineLevel="1" x14ac:dyDescent="0.2">
      <c r="B116" t="s">
        <v>154</v>
      </c>
      <c r="C116" t="str">
        <f t="shared" si="0"/>
        <v>DartTower L3</v>
      </c>
      <c r="D116" s="1" t="s">
        <v>242</v>
      </c>
      <c r="E116" s="2">
        <v>3</v>
      </c>
      <c r="F116" s="18">
        <v>1</v>
      </c>
      <c r="G116" s="48">
        <v>81</v>
      </c>
      <c r="H116" s="48"/>
      <c r="I116" s="49">
        <v>81</v>
      </c>
      <c r="J116" s="24">
        <v>2.53125</v>
      </c>
      <c r="K116" s="22">
        <v>0.39506172839506171</v>
      </c>
      <c r="N116">
        <v>46</v>
      </c>
      <c r="O116">
        <v>42</v>
      </c>
      <c r="P116">
        <v>47</v>
      </c>
      <c r="Q116">
        <v>42</v>
      </c>
      <c r="R116">
        <v>38</v>
      </c>
      <c r="S116">
        <v>33</v>
      </c>
      <c r="T116">
        <v>29</v>
      </c>
      <c r="U116">
        <v>24</v>
      </c>
      <c r="V116">
        <v>20</v>
      </c>
      <c r="W116">
        <v>17</v>
      </c>
      <c r="X116">
        <v>13</v>
      </c>
      <c r="Y116">
        <v>10</v>
      </c>
      <c r="Z116">
        <v>8</v>
      </c>
      <c r="AA116">
        <v>6</v>
      </c>
      <c r="AB116">
        <v>5</v>
      </c>
      <c r="AC116">
        <v>4</v>
      </c>
      <c r="AD116">
        <v>3</v>
      </c>
      <c r="AE116">
        <v>3</v>
      </c>
      <c r="AF116">
        <v>2</v>
      </c>
      <c r="AG116">
        <v>2</v>
      </c>
    </row>
    <row r="117" spans="2:33" outlineLevel="1" x14ac:dyDescent="0.2">
      <c r="B117" t="s">
        <v>154</v>
      </c>
      <c r="C117" t="str">
        <f t="shared" si="0"/>
        <v>DartTower L4</v>
      </c>
      <c r="D117" s="1" t="s">
        <v>242</v>
      </c>
      <c r="E117" s="2">
        <v>4</v>
      </c>
      <c r="F117" s="18">
        <v>1</v>
      </c>
      <c r="G117" s="48">
        <v>146</v>
      </c>
      <c r="H117" s="48"/>
      <c r="I117" s="49">
        <v>146</v>
      </c>
      <c r="J117" s="24">
        <v>4.5625</v>
      </c>
      <c r="K117" s="22">
        <v>0.21917808219178081</v>
      </c>
      <c r="N117">
        <v>91</v>
      </c>
      <c r="O117">
        <v>83</v>
      </c>
      <c r="P117">
        <v>75</v>
      </c>
      <c r="Q117">
        <v>83</v>
      </c>
      <c r="R117">
        <v>75</v>
      </c>
      <c r="S117">
        <v>65</v>
      </c>
      <c r="T117">
        <v>56</v>
      </c>
      <c r="U117">
        <v>47</v>
      </c>
      <c r="V117">
        <v>39</v>
      </c>
      <c r="W117">
        <v>32</v>
      </c>
      <c r="X117">
        <v>25</v>
      </c>
      <c r="Y117">
        <v>20</v>
      </c>
      <c r="Z117">
        <v>16</v>
      </c>
      <c r="AA117">
        <v>11</v>
      </c>
      <c r="AB117">
        <v>9</v>
      </c>
      <c r="AC117">
        <v>6</v>
      </c>
      <c r="AD117">
        <v>5</v>
      </c>
      <c r="AE117">
        <v>4</v>
      </c>
      <c r="AF117">
        <v>3</v>
      </c>
      <c r="AG117">
        <v>3</v>
      </c>
    </row>
    <row r="118" spans="2:33" outlineLevel="1" x14ac:dyDescent="0.2">
      <c r="B118" t="s">
        <v>154</v>
      </c>
      <c r="C118" t="str">
        <f t="shared" si="0"/>
        <v>DartTower L5</v>
      </c>
      <c r="D118" s="1" t="s">
        <v>242</v>
      </c>
      <c r="E118" s="2">
        <v>5</v>
      </c>
      <c r="F118" s="18">
        <v>1</v>
      </c>
      <c r="G118" s="48">
        <v>262</v>
      </c>
      <c r="H118" s="48"/>
      <c r="I118" s="49">
        <v>262</v>
      </c>
      <c r="J118" s="24">
        <v>8.1875</v>
      </c>
      <c r="K118" s="22">
        <v>0.12213740458015267</v>
      </c>
      <c r="N118">
        <v>181</v>
      </c>
      <c r="O118">
        <v>165</v>
      </c>
      <c r="P118">
        <v>150</v>
      </c>
      <c r="Q118">
        <v>137</v>
      </c>
      <c r="R118">
        <v>149</v>
      </c>
      <c r="S118">
        <v>130</v>
      </c>
      <c r="T118">
        <v>111</v>
      </c>
      <c r="U118">
        <v>94</v>
      </c>
      <c r="V118">
        <v>77</v>
      </c>
      <c r="W118">
        <v>62</v>
      </c>
      <c r="X118">
        <v>49</v>
      </c>
      <c r="Y118">
        <v>38</v>
      </c>
      <c r="Z118">
        <v>30</v>
      </c>
      <c r="AA118">
        <v>22</v>
      </c>
      <c r="AB118">
        <v>17</v>
      </c>
      <c r="AC118">
        <v>12</v>
      </c>
      <c r="AD118">
        <v>8</v>
      </c>
      <c r="AE118">
        <v>6</v>
      </c>
      <c r="AF118">
        <v>5</v>
      </c>
      <c r="AG118">
        <v>4</v>
      </c>
    </row>
    <row r="119" spans="2:33" outlineLevel="1" x14ac:dyDescent="0.2">
      <c r="B119" t="s">
        <v>154</v>
      </c>
      <c r="C119" t="str">
        <f t="shared" si="0"/>
        <v>DartTower L6</v>
      </c>
      <c r="D119" s="1" t="s">
        <v>242</v>
      </c>
      <c r="E119" s="2">
        <v>6</v>
      </c>
      <c r="F119" s="18">
        <v>1</v>
      </c>
      <c r="G119" s="48">
        <v>472</v>
      </c>
      <c r="H119" s="48"/>
      <c r="I119" s="49">
        <v>472</v>
      </c>
      <c r="J119" s="24">
        <v>14.75</v>
      </c>
      <c r="K119" s="22">
        <v>6.7796610169491525E-2</v>
      </c>
      <c r="N119">
        <v>361</v>
      </c>
      <c r="O119">
        <v>329</v>
      </c>
      <c r="P119">
        <v>298</v>
      </c>
      <c r="Q119">
        <v>271</v>
      </c>
      <c r="R119">
        <v>246</v>
      </c>
      <c r="S119">
        <v>258</v>
      </c>
      <c r="T119">
        <v>221</v>
      </c>
      <c r="U119">
        <v>186</v>
      </c>
      <c r="V119">
        <v>152</v>
      </c>
      <c r="W119">
        <v>123</v>
      </c>
      <c r="X119">
        <v>97</v>
      </c>
      <c r="Y119">
        <v>75</v>
      </c>
      <c r="Z119">
        <v>57</v>
      </c>
      <c r="AA119">
        <v>43</v>
      </c>
      <c r="AB119">
        <v>31</v>
      </c>
      <c r="AC119">
        <v>22</v>
      </c>
      <c r="AD119">
        <v>16</v>
      </c>
      <c r="AE119">
        <v>11</v>
      </c>
      <c r="AF119">
        <v>7</v>
      </c>
      <c r="AG119">
        <v>5</v>
      </c>
    </row>
    <row r="120" spans="2:33" outlineLevel="1" x14ac:dyDescent="0.2">
      <c r="B120" t="s">
        <v>154</v>
      </c>
      <c r="C120" t="str">
        <f t="shared" si="0"/>
        <v>DartTower L7</v>
      </c>
      <c r="D120" s="1" t="s">
        <v>242</v>
      </c>
      <c r="E120" s="2">
        <v>7</v>
      </c>
      <c r="F120" s="18">
        <v>1</v>
      </c>
      <c r="G120" s="48">
        <v>850</v>
      </c>
      <c r="H120" s="48"/>
      <c r="I120" s="49">
        <v>850</v>
      </c>
      <c r="J120" s="24">
        <v>26.5625</v>
      </c>
      <c r="K120" s="22">
        <v>3.7647058823529408E-2</v>
      </c>
      <c r="N120">
        <v>722</v>
      </c>
      <c r="O120">
        <v>657</v>
      </c>
      <c r="P120">
        <v>597</v>
      </c>
      <c r="Q120">
        <v>542</v>
      </c>
      <c r="R120">
        <v>493</v>
      </c>
      <c r="S120">
        <v>449</v>
      </c>
      <c r="T120">
        <v>442</v>
      </c>
      <c r="U120">
        <v>371</v>
      </c>
      <c r="V120">
        <v>305</v>
      </c>
      <c r="W120">
        <v>245</v>
      </c>
      <c r="X120">
        <v>193</v>
      </c>
      <c r="Y120">
        <v>150</v>
      </c>
      <c r="Z120">
        <v>114</v>
      </c>
      <c r="AA120">
        <v>85</v>
      </c>
      <c r="AB120">
        <v>62</v>
      </c>
      <c r="AC120">
        <v>44</v>
      </c>
      <c r="AD120">
        <v>31</v>
      </c>
      <c r="AE120">
        <v>21</v>
      </c>
      <c r="AF120">
        <v>15</v>
      </c>
      <c r="AG120">
        <v>10</v>
      </c>
    </row>
    <row r="121" spans="2:33" outlineLevel="1" x14ac:dyDescent="0.2">
      <c r="B121" t="s">
        <v>154</v>
      </c>
      <c r="C121" t="str">
        <f t="shared" si="0"/>
        <v>DartTower L8</v>
      </c>
      <c r="D121" s="1" t="s">
        <v>242</v>
      </c>
      <c r="E121" s="2">
        <v>8</v>
      </c>
      <c r="F121" s="18">
        <v>1</v>
      </c>
      <c r="G121" s="48">
        <v>1531</v>
      </c>
      <c r="H121" s="48"/>
      <c r="I121" s="49">
        <v>1531</v>
      </c>
      <c r="J121" s="24">
        <v>47.84375</v>
      </c>
      <c r="K121" s="22">
        <v>2.0901371652514697E-2</v>
      </c>
      <c r="N121">
        <v>1443</v>
      </c>
      <c r="O121">
        <v>1312</v>
      </c>
      <c r="P121">
        <v>1193</v>
      </c>
      <c r="Q121">
        <v>1085</v>
      </c>
      <c r="R121">
        <v>986</v>
      </c>
      <c r="S121">
        <v>896</v>
      </c>
      <c r="T121">
        <v>815</v>
      </c>
      <c r="U121">
        <v>741</v>
      </c>
      <c r="V121">
        <v>609</v>
      </c>
      <c r="W121">
        <v>490</v>
      </c>
      <c r="X121">
        <v>387</v>
      </c>
      <c r="Y121">
        <v>299</v>
      </c>
      <c r="Z121">
        <v>227</v>
      </c>
      <c r="AA121">
        <v>168</v>
      </c>
      <c r="AB121">
        <v>123</v>
      </c>
      <c r="AC121">
        <v>88</v>
      </c>
      <c r="AD121">
        <v>61</v>
      </c>
      <c r="AE121">
        <v>43</v>
      </c>
      <c r="AF121">
        <v>29</v>
      </c>
      <c r="AG121">
        <v>19</v>
      </c>
    </row>
    <row r="122" spans="2:33" outlineLevel="1" x14ac:dyDescent="0.2">
      <c r="B122" t="s">
        <v>154</v>
      </c>
      <c r="C122" t="str">
        <f t="shared" si="0"/>
        <v>DartTower L9</v>
      </c>
      <c r="D122" s="1" t="s">
        <v>242</v>
      </c>
      <c r="E122" s="2">
        <v>9</v>
      </c>
      <c r="F122" s="18">
        <v>1</v>
      </c>
      <c r="G122" s="48">
        <v>2755</v>
      </c>
      <c r="H122" s="48"/>
      <c r="I122" s="49">
        <v>2755</v>
      </c>
      <c r="J122" s="24">
        <v>86.09375</v>
      </c>
      <c r="K122" s="22">
        <v>1.1615245009074409E-2</v>
      </c>
      <c r="N122">
        <v>2609</v>
      </c>
      <c r="O122">
        <v>2372</v>
      </c>
      <c r="P122">
        <v>2156</v>
      </c>
      <c r="Q122">
        <v>1960</v>
      </c>
      <c r="R122">
        <v>1783</v>
      </c>
      <c r="S122">
        <v>1620</v>
      </c>
      <c r="T122">
        <v>1473</v>
      </c>
      <c r="U122">
        <v>1339</v>
      </c>
      <c r="V122">
        <v>1217</v>
      </c>
      <c r="W122">
        <v>981</v>
      </c>
      <c r="X122">
        <v>774</v>
      </c>
      <c r="Y122">
        <v>598</v>
      </c>
      <c r="Z122">
        <v>453</v>
      </c>
      <c r="AA122">
        <v>337</v>
      </c>
      <c r="AB122">
        <v>245</v>
      </c>
      <c r="AC122">
        <v>175</v>
      </c>
      <c r="AD122">
        <v>123</v>
      </c>
      <c r="AE122">
        <v>84</v>
      </c>
      <c r="AF122">
        <v>57</v>
      </c>
      <c r="AG122">
        <v>37</v>
      </c>
    </row>
    <row r="123" spans="2:33" outlineLevel="1" x14ac:dyDescent="0.2">
      <c r="B123" t="s">
        <v>154</v>
      </c>
      <c r="C123" t="str">
        <f t="shared" si="0"/>
        <v>DartTower L10</v>
      </c>
      <c r="D123" s="1" t="s">
        <v>242</v>
      </c>
      <c r="E123" s="2">
        <v>10</v>
      </c>
      <c r="F123" s="18">
        <v>1</v>
      </c>
      <c r="G123" s="48">
        <v>4959</v>
      </c>
      <c r="H123" s="48"/>
      <c r="I123" s="49">
        <v>4959</v>
      </c>
      <c r="J123" s="24">
        <v>154.96875</v>
      </c>
      <c r="K123" s="22">
        <v>6.4529138939302278E-3</v>
      </c>
      <c r="N123">
        <v>4622</v>
      </c>
      <c r="O123">
        <v>4202</v>
      </c>
      <c r="P123">
        <v>3820</v>
      </c>
      <c r="Q123">
        <v>3473</v>
      </c>
      <c r="R123">
        <v>3157</v>
      </c>
      <c r="S123">
        <v>2870</v>
      </c>
      <c r="T123">
        <v>2609</v>
      </c>
      <c r="U123">
        <v>2372</v>
      </c>
      <c r="V123">
        <v>2156</v>
      </c>
      <c r="W123">
        <v>1960</v>
      </c>
      <c r="X123">
        <v>1547</v>
      </c>
      <c r="Y123">
        <v>1196</v>
      </c>
      <c r="Z123">
        <v>907</v>
      </c>
      <c r="AA123">
        <v>674</v>
      </c>
      <c r="AB123">
        <v>490</v>
      </c>
      <c r="AC123">
        <v>350</v>
      </c>
      <c r="AD123">
        <v>245</v>
      </c>
      <c r="AE123">
        <v>168</v>
      </c>
      <c r="AF123">
        <v>113</v>
      </c>
      <c r="AG123">
        <v>74</v>
      </c>
    </row>
    <row r="124" spans="2:33" outlineLevel="1" x14ac:dyDescent="0.2">
      <c r="B124" t="s">
        <v>154</v>
      </c>
      <c r="C124" t="str">
        <f t="shared" si="0"/>
        <v>DartTower L11</v>
      </c>
      <c r="D124" s="1" t="s">
        <v>242</v>
      </c>
      <c r="E124" s="2">
        <v>11</v>
      </c>
      <c r="F124" s="18">
        <v>1</v>
      </c>
      <c r="G124" s="48">
        <v>8926</v>
      </c>
      <c r="H124" s="48"/>
      <c r="I124" s="49">
        <v>8926</v>
      </c>
      <c r="J124" s="24">
        <v>278.9375</v>
      </c>
      <c r="K124" s="22">
        <v>3.5850324893569349E-3</v>
      </c>
      <c r="N124">
        <v>8025</v>
      </c>
      <c r="O124">
        <v>7295</v>
      </c>
      <c r="P124">
        <v>6632</v>
      </c>
      <c r="Q124">
        <v>6029</v>
      </c>
      <c r="R124">
        <v>5481</v>
      </c>
      <c r="S124">
        <v>4983</v>
      </c>
      <c r="T124">
        <v>4530</v>
      </c>
      <c r="U124">
        <v>4118</v>
      </c>
      <c r="V124">
        <v>3743</v>
      </c>
      <c r="W124">
        <v>3403</v>
      </c>
      <c r="X124">
        <v>3094</v>
      </c>
      <c r="Y124">
        <v>2392</v>
      </c>
      <c r="Z124">
        <v>1814</v>
      </c>
      <c r="AA124">
        <v>1347</v>
      </c>
      <c r="AB124">
        <v>981</v>
      </c>
      <c r="AC124">
        <v>699</v>
      </c>
      <c r="AD124">
        <v>489</v>
      </c>
      <c r="AE124">
        <v>335</v>
      </c>
      <c r="AF124">
        <v>225</v>
      </c>
      <c r="AG124">
        <v>149</v>
      </c>
    </row>
    <row r="125" spans="2:33" outlineLevel="1" x14ac:dyDescent="0.2">
      <c r="B125" t="s">
        <v>154</v>
      </c>
      <c r="C125" t="str">
        <f t="shared" si="0"/>
        <v>DartTower L12</v>
      </c>
      <c r="D125" s="1" t="s">
        <v>242</v>
      </c>
      <c r="E125" s="2">
        <v>12</v>
      </c>
      <c r="F125" s="18">
        <v>1</v>
      </c>
      <c r="G125" s="48">
        <v>16067</v>
      </c>
      <c r="H125" s="48"/>
      <c r="I125" s="49">
        <v>16067</v>
      </c>
      <c r="J125" s="24">
        <v>502.09375</v>
      </c>
      <c r="K125" s="22">
        <v>1.9916599240679656E-3</v>
      </c>
      <c r="N125">
        <v>13652</v>
      </c>
      <c r="O125">
        <v>12411</v>
      </c>
      <c r="P125">
        <v>11282</v>
      </c>
      <c r="Q125">
        <v>10256</v>
      </c>
      <c r="R125">
        <v>9325</v>
      </c>
      <c r="S125">
        <v>8476</v>
      </c>
      <c r="T125">
        <v>7706</v>
      </c>
      <c r="U125">
        <v>7005</v>
      </c>
      <c r="V125">
        <v>6369</v>
      </c>
      <c r="W125">
        <v>5790</v>
      </c>
      <c r="X125">
        <v>5263</v>
      </c>
      <c r="Y125">
        <v>4786</v>
      </c>
      <c r="Z125">
        <v>3626</v>
      </c>
      <c r="AA125">
        <v>2694</v>
      </c>
      <c r="AB125">
        <v>1961</v>
      </c>
      <c r="AC125">
        <v>1399</v>
      </c>
      <c r="AD125">
        <v>978</v>
      </c>
      <c r="AE125">
        <v>670</v>
      </c>
      <c r="AF125">
        <v>450</v>
      </c>
      <c r="AG125">
        <v>296</v>
      </c>
    </row>
    <row r="126" spans="2:33" outlineLevel="1" x14ac:dyDescent="0.2">
      <c r="B126" t="s">
        <v>154</v>
      </c>
      <c r="C126" t="str">
        <f t="shared" si="0"/>
        <v>DartTower L13</v>
      </c>
      <c r="D126" s="1" t="s">
        <v>242</v>
      </c>
      <c r="E126" s="2">
        <v>13</v>
      </c>
      <c r="F126" s="18">
        <v>1</v>
      </c>
      <c r="G126" s="48">
        <v>28921</v>
      </c>
      <c r="H126" s="48"/>
      <c r="I126" s="49">
        <v>28921</v>
      </c>
      <c r="J126" s="24">
        <v>903.78125</v>
      </c>
      <c r="K126" s="22">
        <v>1.1064624321427336E-3</v>
      </c>
      <c r="N126">
        <v>22761</v>
      </c>
      <c r="O126">
        <v>20692</v>
      </c>
      <c r="P126">
        <v>18811</v>
      </c>
      <c r="Q126">
        <v>17101</v>
      </c>
      <c r="R126">
        <v>15546</v>
      </c>
      <c r="S126">
        <v>14134</v>
      </c>
      <c r="T126">
        <v>12849</v>
      </c>
      <c r="U126">
        <v>11681</v>
      </c>
      <c r="V126">
        <v>10618</v>
      </c>
      <c r="W126">
        <v>9653</v>
      </c>
      <c r="X126">
        <v>8775</v>
      </c>
      <c r="Y126">
        <v>7978</v>
      </c>
      <c r="Z126">
        <v>7252</v>
      </c>
      <c r="AA126">
        <v>5387</v>
      </c>
      <c r="AB126">
        <v>3921</v>
      </c>
      <c r="AC126">
        <v>2797</v>
      </c>
      <c r="AD126">
        <v>1956</v>
      </c>
      <c r="AE126">
        <v>1339</v>
      </c>
      <c r="AF126">
        <v>900</v>
      </c>
      <c r="AG126">
        <v>592</v>
      </c>
    </row>
    <row r="127" spans="2:33" outlineLevel="1" x14ac:dyDescent="0.2">
      <c r="B127" t="s">
        <v>154</v>
      </c>
      <c r="C127" t="str">
        <f t="shared" si="0"/>
        <v>DartTower L14</v>
      </c>
      <c r="D127" s="1" t="s">
        <v>242</v>
      </c>
      <c r="E127" s="2">
        <v>14</v>
      </c>
      <c r="F127" s="18">
        <v>1</v>
      </c>
      <c r="G127" s="48">
        <v>52057</v>
      </c>
      <c r="H127" s="48"/>
      <c r="I127" s="49">
        <v>52057</v>
      </c>
      <c r="J127" s="24">
        <v>1626.78125</v>
      </c>
      <c r="K127" s="22">
        <v>6.147107977793572E-4</v>
      </c>
      <c r="N127">
        <v>37191</v>
      </c>
      <c r="O127">
        <v>33810</v>
      </c>
      <c r="P127">
        <v>30737</v>
      </c>
      <c r="Q127">
        <v>27943</v>
      </c>
      <c r="R127">
        <v>25402</v>
      </c>
      <c r="S127">
        <v>23093</v>
      </c>
      <c r="T127">
        <v>20993</v>
      </c>
      <c r="U127">
        <v>19086</v>
      </c>
      <c r="V127">
        <v>17350</v>
      </c>
      <c r="W127">
        <v>15773</v>
      </c>
      <c r="X127">
        <v>14339</v>
      </c>
      <c r="Y127">
        <v>13035</v>
      </c>
      <c r="Z127">
        <v>11851</v>
      </c>
      <c r="AA127">
        <v>10773</v>
      </c>
      <c r="AB127">
        <v>7842</v>
      </c>
      <c r="AC127">
        <v>5594</v>
      </c>
      <c r="AD127">
        <v>3910</v>
      </c>
      <c r="AE127">
        <v>2678</v>
      </c>
      <c r="AF127">
        <v>1799</v>
      </c>
      <c r="AG127">
        <v>1183</v>
      </c>
    </row>
    <row r="128" spans="2:33" outlineLevel="1" x14ac:dyDescent="0.2">
      <c r="B128" t="s">
        <v>154</v>
      </c>
      <c r="C128" t="str">
        <f t="shared" si="0"/>
        <v>DartTower L15</v>
      </c>
      <c r="D128" s="1" t="s">
        <v>242</v>
      </c>
      <c r="E128" s="2">
        <v>15</v>
      </c>
      <c r="F128" s="18">
        <v>1</v>
      </c>
      <c r="G128" s="48">
        <v>93703</v>
      </c>
      <c r="H128" s="48"/>
      <c r="I128" s="49">
        <v>93703</v>
      </c>
      <c r="J128" s="24">
        <v>2928.21875</v>
      </c>
      <c r="K128" s="22">
        <v>3.4150454094319287E-4</v>
      </c>
      <c r="N128">
        <v>59555</v>
      </c>
      <c r="O128">
        <v>54140</v>
      </c>
      <c r="P128">
        <v>49218</v>
      </c>
      <c r="Q128">
        <v>44744</v>
      </c>
      <c r="R128">
        <v>40676</v>
      </c>
      <c r="S128">
        <v>36979</v>
      </c>
      <c r="T128">
        <v>33617</v>
      </c>
      <c r="U128">
        <v>30561</v>
      </c>
      <c r="V128">
        <v>27783</v>
      </c>
      <c r="W128">
        <v>25257</v>
      </c>
      <c r="X128">
        <v>22961</v>
      </c>
      <c r="Y128">
        <v>20874</v>
      </c>
      <c r="Z128">
        <v>18976</v>
      </c>
      <c r="AA128">
        <v>17251</v>
      </c>
      <c r="AB128">
        <v>15683</v>
      </c>
      <c r="AC128">
        <v>11187</v>
      </c>
      <c r="AD128">
        <v>7820</v>
      </c>
      <c r="AE128">
        <v>5358</v>
      </c>
      <c r="AF128">
        <v>3597</v>
      </c>
      <c r="AG128">
        <v>2366</v>
      </c>
    </row>
    <row r="129" spans="2:33" outlineLevel="1" x14ac:dyDescent="0.2">
      <c r="B129" t="s">
        <v>154</v>
      </c>
      <c r="C129" t="str">
        <f t="shared" si="0"/>
        <v>DartTower L16</v>
      </c>
      <c r="D129" s="1" t="s">
        <v>242</v>
      </c>
      <c r="E129" s="2">
        <v>16</v>
      </c>
      <c r="F129" s="18">
        <v>1</v>
      </c>
      <c r="G129" s="48">
        <v>168666</v>
      </c>
      <c r="H129" s="48"/>
      <c r="I129" s="49">
        <v>168666</v>
      </c>
      <c r="J129" s="24">
        <v>5270.8125</v>
      </c>
      <c r="K129" s="22">
        <v>1.8972407005561287E-4</v>
      </c>
      <c r="N129">
        <v>93456</v>
      </c>
      <c r="O129">
        <v>84961</v>
      </c>
      <c r="P129">
        <v>77237</v>
      </c>
      <c r="Q129">
        <v>70216</v>
      </c>
      <c r="R129">
        <v>63832</v>
      </c>
      <c r="S129">
        <v>58029</v>
      </c>
      <c r="T129">
        <v>52753</v>
      </c>
      <c r="U129">
        <v>47959</v>
      </c>
      <c r="V129">
        <v>43598</v>
      </c>
      <c r="W129">
        <v>39635</v>
      </c>
      <c r="X129">
        <v>36032</v>
      </c>
      <c r="Y129">
        <v>32756</v>
      </c>
      <c r="Z129">
        <v>29778</v>
      </c>
      <c r="AA129">
        <v>27071</v>
      </c>
      <c r="AB129">
        <v>24611</v>
      </c>
      <c r="AC129">
        <v>22373</v>
      </c>
      <c r="AD129">
        <v>15639</v>
      </c>
      <c r="AE129">
        <v>10715</v>
      </c>
      <c r="AF129">
        <v>7194</v>
      </c>
      <c r="AG129">
        <v>4732</v>
      </c>
    </row>
    <row r="130" spans="2:33" outlineLevel="1" x14ac:dyDescent="0.2">
      <c r="B130" t="s">
        <v>154</v>
      </c>
      <c r="C130" t="str">
        <f t="shared" si="0"/>
        <v>DartTower L17</v>
      </c>
      <c r="D130" s="1" t="s">
        <v>242</v>
      </c>
      <c r="E130" s="2">
        <v>17</v>
      </c>
      <c r="F130" s="18">
        <v>1</v>
      </c>
      <c r="G130" s="48">
        <v>303599</v>
      </c>
      <c r="H130" s="48"/>
      <c r="I130" s="49">
        <v>303599</v>
      </c>
      <c r="J130" s="24">
        <v>9487.46875</v>
      </c>
      <c r="K130" s="22">
        <v>1.054021917068238E-4</v>
      </c>
      <c r="N130">
        <v>143725</v>
      </c>
      <c r="O130">
        <v>130659</v>
      </c>
      <c r="P130">
        <v>118780</v>
      </c>
      <c r="Q130">
        <v>107983</v>
      </c>
      <c r="R130">
        <v>98166</v>
      </c>
      <c r="S130">
        <v>89242</v>
      </c>
      <c r="T130">
        <v>81129</v>
      </c>
      <c r="U130">
        <v>73754</v>
      </c>
      <c r="V130">
        <v>67049</v>
      </c>
      <c r="W130">
        <v>60953</v>
      </c>
      <c r="X130">
        <v>55412</v>
      </c>
      <c r="Y130">
        <v>50375</v>
      </c>
      <c r="Z130">
        <v>45795</v>
      </c>
      <c r="AA130">
        <v>41632</v>
      </c>
      <c r="AB130">
        <v>37848</v>
      </c>
      <c r="AC130">
        <v>34407</v>
      </c>
      <c r="AD130">
        <v>31280</v>
      </c>
      <c r="AE130">
        <v>21428</v>
      </c>
      <c r="AF130">
        <v>14386</v>
      </c>
      <c r="AG130">
        <v>9466</v>
      </c>
    </row>
    <row r="131" spans="2:33" outlineLevel="1" x14ac:dyDescent="0.2">
      <c r="B131" t="s">
        <v>154</v>
      </c>
      <c r="C131" t="str">
        <f t="shared" si="0"/>
        <v>DartTower L18</v>
      </c>
      <c r="D131" s="1" t="s">
        <v>242</v>
      </c>
      <c r="E131" s="2">
        <v>18</v>
      </c>
      <c r="F131" s="18">
        <v>1</v>
      </c>
      <c r="G131" s="48">
        <v>546478</v>
      </c>
      <c r="H131" s="48"/>
      <c r="I131" s="49">
        <v>546478</v>
      </c>
      <c r="J131" s="24">
        <v>17077.4375</v>
      </c>
      <c r="K131" s="22">
        <v>5.8556794601063536E-5</v>
      </c>
      <c r="N131">
        <v>216611</v>
      </c>
      <c r="O131">
        <v>196919</v>
      </c>
      <c r="P131">
        <v>179018</v>
      </c>
      <c r="Q131">
        <v>162743</v>
      </c>
      <c r="R131">
        <v>147948</v>
      </c>
      <c r="S131">
        <v>134498</v>
      </c>
      <c r="T131">
        <v>122272</v>
      </c>
      <c r="U131">
        <v>111156</v>
      </c>
      <c r="V131">
        <v>101051</v>
      </c>
      <c r="W131">
        <v>91865</v>
      </c>
      <c r="X131">
        <v>83514</v>
      </c>
      <c r="Y131">
        <v>75922</v>
      </c>
      <c r="Z131">
        <v>69020</v>
      </c>
      <c r="AA131">
        <v>62745</v>
      </c>
      <c r="AB131">
        <v>57041</v>
      </c>
      <c r="AC131">
        <v>51855</v>
      </c>
      <c r="AD131">
        <v>47142</v>
      </c>
      <c r="AE131">
        <v>42856</v>
      </c>
      <c r="AF131">
        <v>28772</v>
      </c>
      <c r="AG131">
        <v>18930</v>
      </c>
    </row>
    <row r="132" spans="2:33" outlineLevel="1" x14ac:dyDescent="0.2">
      <c r="B132" t="s">
        <v>154</v>
      </c>
      <c r="C132" t="str">
        <f t="shared" si="0"/>
        <v>DartTower L19</v>
      </c>
      <c r="D132" s="1" t="s">
        <v>242</v>
      </c>
      <c r="E132" s="2">
        <v>19</v>
      </c>
      <c r="F132" s="18">
        <v>1</v>
      </c>
      <c r="G132" s="48">
        <v>983660</v>
      </c>
      <c r="H132" s="48"/>
      <c r="I132" s="49">
        <v>983660</v>
      </c>
      <c r="J132" s="24">
        <v>30739.375</v>
      </c>
      <c r="K132" s="22">
        <v>3.2531565784925682E-5</v>
      </c>
      <c r="N132">
        <v>319932</v>
      </c>
      <c r="O132">
        <v>290846</v>
      </c>
      <c r="P132">
        <v>264406</v>
      </c>
      <c r="Q132">
        <v>240369</v>
      </c>
      <c r="R132">
        <v>218517</v>
      </c>
      <c r="S132">
        <v>198652</v>
      </c>
      <c r="T132">
        <v>180593</v>
      </c>
      <c r="U132">
        <v>164175</v>
      </c>
      <c r="V132">
        <v>149250</v>
      </c>
      <c r="W132">
        <v>135683</v>
      </c>
      <c r="X132">
        <v>123348</v>
      </c>
      <c r="Y132">
        <v>112134</v>
      </c>
      <c r="Z132">
        <v>101940</v>
      </c>
      <c r="AA132">
        <v>92673</v>
      </c>
      <c r="AB132">
        <v>84248</v>
      </c>
      <c r="AC132">
        <v>76589</v>
      </c>
      <c r="AD132">
        <v>69626</v>
      </c>
      <c r="AE132">
        <v>63297</v>
      </c>
      <c r="AF132">
        <v>57543</v>
      </c>
      <c r="AG132">
        <v>37860</v>
      </c>
    </row>
    <row r="133" spans="2:33" s="37" customFormat="1" outlineLevel="1" x14ac:dyDescent="0.2">
      <c r="B133" s="37" t="s">
        <v>154</v>
      </c>
      <c r="C133" s="37" t="str">
        <f t="shared" si="0"/>
        <v>DartTower L20</v>
      </c>
      <c r="D133" s="38" t="s">
        <v>242</v>
      </c>
      <c r="E133" s="39">
        <v>20</v>
      </c>
      <c r="F133" s="40">
        <v>1</v>
      </c>
      <c r="G133" s="51">
        <v>1770588</v>
      </c>
      <c r="H133" s="51"/>
      <c r="I133" s="52">
        <v>1770588</v>
      </c>
      <c r="J133" s="42">
        <v>55330.875</v>
      </c>
      <c r="K133" s="43">
        <v>1.8073092102736494E-5</v>
      </c>
      <c r="L133" s="44"/>
      <c r="N133" s="37">
        <v>463082</v>
      </c>
      <c r="O133" s="37">
        <v>420984</v>
      </c>
      <c r="P133" s="37">
        <v>382713</v>
      </c>
      <c r="Q133" s="37">
        <v>347921</v>
      </c>
      <c r="R133" s="37">
        <v>316292</v>
      </c>
      <c r="S133" s="37">
        <v>287538</v>
      </c>
      <c r="T133" s="37">
        <v>261398</v>
      </c>
      <c r="U133" s="37">
        <v>237635</v>
      </c>
      <c r="V133" s="37">
        <v>216031</v>
      </c>
      <c r="W133" s="37">
        <v>196393</v>
      </c>
      <c r="X133" s="37">
        <v>178539</v>
      </c>
      <c r="Y133" s="37">
        <v>162308</v>
      </c>
      <c r="Z133" s="37">
        <v>147553</v>
      </c>
      <c r="AA133" s="37">
        <v>134139</v>
      </c>
      <c r="AB133" s="37">
        <v>121945</v>
      </c>
      <c r="AC133" s="37">
        <v>110859</v>
      </c>
      <c r="AD133" s="37">
        <v>100781</v>
      </c>
      <c r="AE133" s="37">
        <v>91619</v>
      </c>
      <c r="AF133" s="37">
        <v>83290</v>
      </c>
      <c r="AG133" s="37">
        <v>75718</v>
      </c>
    </row>
    <row r="134" spans="2:33" x14ac:dyDescent="0.2">
      <c r="B134" t="s">
        <v>154</v>
      </c>
      <c r="C134" t="str">
        <f t="shared" si="0"/>
        <v>SniperTower L-1</v>
      </c>
      <c r="D134" s="1" t="s">
        <v>243</v>
      </c>
      <c r="E134" s="2">
        <v>-1</v>
      </c>
      <c r="F134" s="18">
        <v>1</v>
      </c>
      <c r="G134" s="48">
        <v>9</v>
      </c>
      <c r="H134" s="48"/>
      <c r="I134" s="49">
        <v>9</v>
      </c>
      <c r="J134" s="24">
        <v>0.28125</v>
      </c>
      <c r="K134" s="22">
        <v>3.5555555555555554</v>
      </c>
      <c r="N134">
        <v>4</v>
      </c>
      <c r="O134">
        <v>3</v>
      </c>
      <c r="P134">
        <v>3</v>
      </c>
      <c r="Q134">
        <v>3</v>
      </c>
      <c r="R134">
        <v>3</v>
      </c>
      <c r="S134">
        <v>3</v>
      </c>
      <c r="T134">
        <v>3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</row>
    <row r="135" spans="2:33" x14ac:dyDescent="0.2">
      <c r="B135" t="s">
        <v>154</v>
      </c>
      <c r="C135" t="str">
        <f t="shared" si="0"/>
        <v>SniperTower L0</v>
      </c>
      <c r="D135" s="1" t="s">
        <v>243</v>
      </c>
      <c r="E135" s="2">
        <v>0</v>
      </c>
      <c r="F135" s="18">
        <v>1</v>
      </c>
      <c r="G135" s="48">
        <v>17</v>
      </c>
      <c r="H135" s="48"/>
      <c r="I135" s="49">
        <v>17</v>
      </c>
      <c r="J135" s="24">
        <v>0.53125</v>
      </c>
      <c r="K135" s="22">
        <v>1.8823529411764706</v>
      </c>
      <c r="N135">
        <v>7</v>
      </c>
      <c r="O135">
        <v>6</v>
      </c>
      <c r="P135">
        <v>6</v>
      </c>
      <c r="Q135">
        <v>5</v>
      </c>
      <c r="R135">
        <v>5</v>
      </c>
      <c r="S135">
        <v>4</v>
      </c>
      <c r="T135">
        <v>4</v>
      </c>
      <c r="U135">
        <v>4</v>
      </c>
      <c r="V135">
        <v>3</v>
      </c>
      <c r="W135">
        <v>3</v>
      </c>
      <c r="X135">
        <v>3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</row>
    <row r="136" spans="2:33" x14ac:dyDescent="0.2">
      <c r="B136" t="s">
        <v>154</v>
      </c>
      <c r="C136" t="str">
        <f t="shared" si="0"/>
        <v>SniperTower L1</v>
      </c>
      <c r="D136" s="1" t="s">
        <v>243</v>
      </c>
      <c r="E136" s="2">
        <v>1</v>
      </c>
      <c r="F136" s="18">
        <v>1</v>
      </c>
      <c r="G136" s="50">
        <v>30</v>
      </c>
      <c r="H136" s="50"/>
      <c r="I136" s="49">
        <v>30</v>
      </c>
      <c r="J136" s="24">
        <v>0.9375</v>
      </c>
      <c r="K136" s="22">
        <v>1.0666666666666667</v>
      </c>
      <c r="N136">
        <v>15</v>
      </c>
      <c r="O136">
        <v>13</v>
      </c>
      <c r="P136">
        <v>12</v>
      </c>
      <c r="Q136">
        <v>11</v>
      </c>
      <c r="R136">
        <v>10</v>
      </c>
      <c r="S136">
        <v>9</v>
      </c>
      <c r="T136">
        <v>8</v>
      </c>
      <c r="U136">
        <v>7</v>
      </c>
      <c r="V136">
        <v>6</v>
      </c>
      <c r="W136">
        <v>5</v>
      </c>
      <c r="X136">
        <v>4</v>
      </c>
      <c r="Y136">
        <v>4</v>
      </c>
      <c r="Z136">
        <v>3</v>
      </c>
      <c r="AA136">
        <v>3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</row>
    <row r="137" spans="2:33" outlineLevel="1" x14ac:dyDescent="0.2">
      <c r="B137" t="s">
        <v>154</v>
      </c>
      <c r="C137" t="str">
        <f t="shared" si="0"/>
        <v>SniperTower L2</v>
      </c>
      <c r="D137" s="1" t="s">
        <v>243</v>
      </c>
      <c r="E137" s="2">
        <v>2</v>
      </c>
      <c r="F137" s="18">
        <v>1</v>
      </c>
      <c r="G137" s="48">
        <v>54</v>
      </c>
      <c r="H137" s="48"/>
      <c r="I137" s="49">
        <v>54</v>
      </c>
      <c r="J137" s="24">
        <v>1.6875</v>
      </c>
      <c r="K137" s="22">
        <v>0.59259259259259256</v>
      </c>
      <c r="N137">
        <v>23</v>
      </c>
      <c r="O137">
        <v>26</v>
      </c>
      <c r="P137">
        <v>24</v>
      </c>
      <c r="Q137">
        <v>21</v>
      </c>
      <c r="R137">
        <v>20</v>
      </c>
      <c r="S137">
        <v>17</v>
      </c>
      <c r="T137">
        <v>15</v>
      </c>
      <c r="U137">
        <v>12</v>
      </c>
      <c r="V137">
        <v>10</v>
      </c>
      <c r="W137">
        <v>9</v>
      </c>
      <c r="X137">
        <v>7</v>
      </c>
      <c r="Y137">
        <v>6</v>
      </c>
      <c r="Z137">
        <v>5</v>
      </c>
      <c r="AA137">
        <v>4</v>
      </c>
      <c r="AB137">
        <v>3</v>
      </c>
      <c r="AC137">
        <v>3</v>
      </c>
      <c r="AD137">
        <v>2</v>
      </c>
      <c r="AE137">
        <v>2</v>
      </c>
      <c r="AF137">
        <v>2</v>
      </c>
      <c r="AG137">
        <v>2</v>
      </c>
    </row>
    <row r="138" spans="2:33" outlineLevel="1" x14ac:dyDescent="0.2">
      <c r="B138" t="s">
        <v>154</v>
      </c>
      <c r="C138" t="str">
        <f t="shared" si="0"/>
        <v>SniperTower L3</v>
      </c>
      <c r="D138" s="1" t="s">
        <v>243</v>
      </c>
      <c r="E138" s="2">
        <v>3</v>
      </c>
      <c r="F138" s="18">
        <v>1</v>
      </c>
      <c r="G138" s="48">
        <v>97</v>
      </c>
      <c r="H138" s="48"/>
      <c r="I138" s="49">
        <v>97</v>
      </c>
      <c r="J138" s="24">
        <v>3.03125</v>
      </c>
      <c r="K138" s="22">
        <v>0.32989690721649484</v>
      </c>
      <c r="N138">
        <v>46</v>
      </c>
      <c r="O138">
        <v>42</v>
      </c>
      <c r="P138">
        <v>47</v>
      </c>
      <c r="Q138">
        <v>42</v>
      </c>
      <c r="R138">
        <v>38</v>
      </c>
      <c r="S138">
        <v>33</v>
      </c>
      <c r="T138">
        <v>29</v>
      </c>
      <c r="U138">
        <v>24</v>
      </c>
      <c r="V138">
        <v>20</v>
      </c>
      <c r="W138">
        <v>17</v>
      </c>
      <c r="X138">
        <v>13</v>
      </c>
      <c r="Y138">
        <v>10</v>
      </c>
      <c r="Z138">
        <v>8</v>
      </c>
      <c r="AA138">
        <v>6</v>
      </c>
      <c r="AB138">
        <v>5</v>
      </c>
      <c r="AC138">
        <v>4</v>
      </c>
      <c r="AD138">
        <v>3</v>
      </c>
      <c r="AE138">
        <v>3</v>
      </c>
      <c r="AF138">
        <v>2</v>
      </c>
      <c r="AG138">
        <v>2</v>
      </c>
    </row>
    <row r="139" spans="2:33" outlineLevel="1" x14ac:dyDescent="0.2">
      <c r="B139" t="s">
        <v>154</v>
      </c>
      <c r="C139" t="str">
        <f t="shared" si="0"/>
        <v>SniperTower L4</v>
      </c>
      <c r="D139" s="1" t="s">
        <v>243</v>
      </c>
      <c r="E139" s="2">
        <v>4</v>
      </c>
      <c r="F139" s="18">
        <v>1</v>
      </c>
      <c r="G139" s="48">
        <v>175</v>
      </c>
      <c r="H139" s="48"/>
      <c r="I139" s="49">
        <v>175</v>
      </c>
      <c r="J139" s="24">
        <v>5.46875</v>
      </c>
      <c r="K139" s="22">
        <v>0.18285714285714286</v>
      </c>
      <c r="N139">
        <v>91</v>
      </c>
      <c r="O139">
        <v>83</v>
      </c>
      <c r="P139">
        <v>75</v>
      </c>
      <c r="Q139">
        <v>83</v>
      </c>
      <c r="R139">
        <v>75</v>
      </c>
      <c r="S139">
        <v>65</v>
      </c>
      <c r="T139">
        <v>56</v>
      </c>
      <c r="U139">
        <v>47</v>
      </c>
      <c r="V139">
        <v>39</v>
      </c>
      <c r="W139">
        <v>32</v>
      </c>
      <c r="X139">
        <v>25</v>
      </c>
      <c r="Y139">
        <v>20</v>
      </c>
      <c r="Z139">
        <v>16</v>
      </c>
      <c r="AA139">
        <v>11</v>
      </c>
      <c r="AB139">
        <v>9</v>
      </c>
      <c r="AC139">
        <v>6</v>
      </c>
      <c r="AD139">
        <v>5</v>
      </c>
      <c r="AE139">
        <v>4</v>
      </c>
      <c r="AF139">
        <v>3</v>
      </c>
      <c r="AG139">
        <v>3</v>
      </c>
    </row>
    <row r="140" spans="2:33" outlineLevel="1" x14ac:dyDescent="0.2">
      <c r="B140" t="s">
        <v>154</v>
      </c>
      <c r="C140" t="str">
        <f t="shared" si="0"/>
        <v>SniperTower L5</v>
      </c>
      <c r="D140" s="1" t="s">
        <v>243</v>
      </c>
      <c r="E140" s="2">
        <v>5</v>
      </c>
      <c r="F140" s="18">
        <v>1</v>
      </c>
      <c r="G140" s="48">
        <v>315</v>
      </c>
      <c r="H140" s="48"/>
      <c r="I140" s="49">
        <v>315</v>
      </c>
      <c r="J140" s="24">
        <v>9.84375</v>
      </c>
      <c r="K140" s="22">
        <v>0.10158730158730159</v>
      </c>
      <c r="N140">
        <v>181</v>
      </c>
      <c r="O140">
        <v>165</v>
      </c>
      <c r="P140">
        <v>150</v>
      </c>
      <c r="Q140">
        <v>137</v>
      </c>
      <c r="R140">
        <v>149</v>
      </c>
      <c r="S140">
        <v>130</v>
      </c>
      <c r="T140">
        <v>111</v>
      </c>
      <c r="U140">
        <v>94</v>
      </c>
      <c r="V140">
        <v>77</v>
      </c>
      <c r="W140">
        <v>62</v>
      </c>
      <c r="X140">
        <v>49</v>
      </c>
      <c r="Y140">
        <v>38</v>
      </c>
      <c r="Z140">
        <v>30</v>
      </c>
      <c r="AA140">
        <v>22</v>
      </c>
      <c r="AB140">
        <v>17</v>
      </c>
      <c r="AC140">
        <v>12</v>
      </c>
      <c r="AD140">
        <v>8</v>
      </c>
      <c r="AE140">
        <v>6</v>
      </c>
      <c r="AF140">
        <v>5</v>
      </c>
      <c r="AG140">
        <v>4</v>
      </c>
    </row>
    <row r="141" spans="2:33" outlineLevel="1" x14ac:dyDescent="0.2">
      <c r="B141" t="s">
        <v>154</v>
      </c>
      <c r="C141" t="str">
        <f t="shared" si="0"/>
        <v>SniperTower L6</v>
      </c>
      <c r="D141" s="1" t="s">
        <v>243</v>
      </c>
      <c r="E141" s="2">
        <v>6</v>
      </c>
      <c r="F141" s="18">
        <v>1</v>
      </c>
      <c r="G141" s="48">
        <v>567</v>
      </c>
      <c r="H141" s="48"/>
      <c r="I141" s="49">
        <v>567</v>
      </c>
      <c r="J141" s="24">
        <v>17.71875</v>
      </c>
      <c r="K141" s="22">
        <v>5.6437389770723101E-2</v>
      </c>
      <c r="N141">
        <v>361</v>
      </c>
      <c r="O141">
        <v>329</v>
      </c>
      <c r="P141">
        <v>298</v>
      </c>
      <c r="Q141">
        <v>271</v>
      </c>
      <c r="R141">
        <v>246</v>
      </c>
      <c r="S141">
        <v>258</v>
      </c>
      <c r="T141">
        <v>221</v>
      </c>
      <c r="U141">
        <v>186</v>
      </c>
      <c r="V141">
        <v>152</v>
      </c>
      <c r="W141">
        <v>123</v>
      </c>
      <c r="X141">
        <v>97</v>
      </c>
      <c r="Y141">
        <v>75</v>
      </c>
      <c r="Z141">
        <v>57</v>
      </c>
      <c r="AA141">
        <v>43</v>
      </c>
      <c r="AB141">
        <v>31</v>
      </c>
      <c r="AC141">
        <v>22</v>
      </c>
      <c r="AD141">
        <v>16</v>
      </c>
      <c r="AE141">
        <v>11</v>
      </c>
      <c r="AF141">
        <v>7</v>
      </c>
      <c r="AG141">
        <v>5</v>
      </c>
    </row>
    <row r="142" spans="2:33" outlineLevel="1" x14ac:dyDescent="0.2">
      <c r="B142" t="s">
        <v>154</v>
      </c>
      <c r="C142" t="str">
        <f t="shared" si="0"/>
        <v>SniperTower L7</v>
      </c>
      <c r="D142" s="1" t="s">
        <v>243</v>
      </c>
      <c r="E142" s="2">
        <v>7</v>
      </c>
      <c r="F142" s="18">
        <v>1</v>
      </c>
      <c r="G142" s="48">
        <v>1020</v>
      </c>
      <c r="H142" s="48"/>
      <c r="I142" s="49">
        <v>1020</v>
      </c>
      <c r="J142" s="24">
        <v>31.875</v>
      </c>
      <c r="K142" s="22">
        <v>3.1372549019607843E-2</v>
      </c>
      <c r="N142">
        <v>722</v>
      </c>
      <c r="O142">
        <v>657</v>
      </c>
      <c r="P142">
        <v>597</v>
      </c>
      <c r="Q142">
        <v>542</v>
      </c>
      <c r="R142">
        <v>493</v>
      </c>
      <c r="S142">
        <v>449</v>
      </c>
      <c r="T142">
        <v>442</v>
      </c>
      <c r="U142">
        <v>371</v>
      </c>
      <c r="V142">
        <v>305</v>
      </c>
      <c r="W142">
        <v>245</v>
      </c>
      <c r="X142">
        <v>193</v>
      </c>
      <c r="Y142">
        <v>150</v>
      </c>
      <c r="Z142">
        <v>114</v>
      </c>
      <c r="AA142">
        <v>85</v>
      </c>
      <c r="AB142">
        <v>62</v>
      </c>
      <c r="AC142">
        <v>44</v>
      </c>
      <c r="AD142">
        <v>31</v>
      </c>
      <c r="AE142">
        <v>21</v>
      </c>
      <c r="AF142">
        <v>15</v>
      </c>
      <c r="AG142">
        <v>10</v>
      </c>
    </row>
    <row r="143" spans="2:33" outlineLevel="1" x14ac:dyDescent="0.2">
      <c r="B143" t="s">
        <v>154</v>
      </c>
      <c r="C143" t="str">
        <f t="shared" si="0"/>
        <v>SniperTower L8</v>
      </c>
      <c r="D143" s="1" t="s">
        <v>243</v>
      </c>
      <c r="E143" s="2">
        <v>8</v>
      </c>
      <c r="F143" s="18">
        <v>1</v>
      </c>
      <c r="G143" s="48">
        <v>1837</v>
      </c>
      <c r="H143" s="48"/>
      <c r="I143" s="49">
        <v>1837</v>
      </c>
      <c r="J143" s="24">
        <v>57.40625</v>
      </c>
      <c r="K143" s="22">
        <v>1.7419706042460535E-2</v>
      </c>
      <c r="N143">
        <v>1443</v>
      </c>
      <c r="O143">
        <v>1312</v>
      </c>
      <c r="P143">
        <v>1193</v>
      </c>
      <c r="Q143">
        <v>1085</v>
      </c>
      <c r="R143">
        <v>986</v>
      </c>
      <c r="S143">
        <v>896</v>
      </c>
      <c r="T143">
        <v>815</v>
      </c>
      <c r="U143">
        <v>741</v>
      </c>
      <c r="V143">
        <v>609</v>
      </c>
      <c r="W143">
        <v>490</v>
      </c>
      <c r="X143">
        <v>387</v>
      </c>
      <c r="Y143">
        <v>299</v>
      </c>
      <c r="Z143">
        <v>227</v>
      </c>
      <c r="AA143">
        <v>168</v>
      </c>
      <c r="AB143">
        <v>123</v>
      </c>
      <c r="AC143">
        <v>88</v>
      </c>
      <c r="AD143">
        <v>61</v>
      </c>
      <c r="AE143">
        <v>43</v>
      </c>
      <c r="AF143">
        <v>29</v>
      </c>
      <c r="AG143">
        <v>19</v>
      </c>
    </row>
    <row r="144" spans="2:33" outlineLevel="1" x14ac:dyDescent="0.2">
      <c r="B144" t="s">
        <v>154</v>
      </c>
      <c r="C144" t="str">
        <f t="shared" si="0"/>
        <v>SniperTower L9</v>
      </c>
      <c r="D144" s="1" t="s">
        <v>243</v>
      </c>
      <c r="E144" s="2">
        <v>9</v>
      </c>
      <c r="F144" s="18">
        <v>1</v>
      </c>
      <c r="G144" s="48">
        <v>3306</v>
      </c>
      <c r="H144" s="48"/>
      <c r="I144" s="49">
        <v>3306</v>
      </c>
      <c r="J144" s="24">
        <v>103.3125</v>
      </c>
      <c r="K144" s="22">
        <v>9.6793708408953426E-3</v>
      </c>
      <c r="N144">
        <v>2609</v>
      </c>
      <c r="O144">
        <v>2372</v>
      </c>
      <c r="P144">
        <v>2156</v>
      </c>
      <c r="Q144">
        <v>1960</v>
      </c>
      <c r="R144">
        <v>1783</v>
      </c>
      <c r="S144">
        <v>1620</v>
      </c>
      <c r="T144">
        <v>1473</v>
      </c>
      <c r="U144">
        <v>1339</v>
      </c>
      <c r="V144">
        <v>1217</v>
      </c>
      <c r="W144">
        <v>981</v>
      </c>
      <c r="X144">
        <v>774</v>
      </c>
      <c r="Y144">
        <v>598</v>
      </c>
      <c r="Z144">
        <v>453</v>
      </c>
      <c r="AA144">
        <v>337</v>
      </c>
      <c r="AB144">
        <v>245</v>
      </c>
      <c r="AC144">
        <v>175</v>
      </c>
      <c r="AD144">
        <v>123</v>
      </c>
      <c r="AE144">
        <v>84</v>
      </c>
      <c r="AF144">
        <v>57</v>
      </c>
      <c r="AG144">
        <v>37</v>
      </c>
    </row>
    <row r="145" spans="2:33" outlineLevel="1" x14ac:dyDescent="0.2">
      <c r="B145" t="s">
        <v>154</v>
      </c>
      <c r="C145" t="str">
        <f t="shared" si="0"/>
        <v>SniperTower L10</v>
      </c>
      <c r="D145" s="1" t="s">
        <v>243</v>
      </c>
      <c r="E145" s="2">
        <v>10</v>
      </c>
      <c r="F145" s="18">
        <v>1</v>
      </c>
      <c r="G145" s="48">
        <v>5951</v>
      </c>
      <c r="H145" s="48"/>
      <c r="I145" s="49">
        <v>5951</v>
      </c>
      <c r="J145" s="24">
        <v>185.96875</v>
      </c>
      <c r="K145" s="22">
        <v>5.3772475214249708E-3</v>
      </c>
      <c r="N145">
        <v>4622</v>
      </c>
      <c r="O145">
        <v>4202</v>
      </c>
      <c r="P145">
        <v>3820</v>
      </c>
      <c r="Q145">
        <v>3473</v>
      </c>
      <c r="R145">
        <v>3157</v>
      </c>
      <c r="S145">
        <v>2870</v>
      </c>
      <c r="T145">
        <v>2609</v>
      </c>
      <c r="U145">
        <v>2372</v>
      </c>
      <c r="V145">
        <v>2156</v>
      </c>
      <c r="W145">
        <v>1960</v>
      </c>
      <c r="X145">
        <v>1547</v>
      </c>
      <c r="Y145">
        <v>1196</v>
      </c>
      <c r="Z145">
        <v>907</v>
      </c>
      <c r="AA145">
        <v>674</v>
      </c>
      <c r="AB145">
        <v>490</v>
      </c>
      <c r="AC145">
        <v>350</v>
      </c>
      <c r="AD145">
        <v>245</v>
      </c>
      <c r="AE145">
        <v>168</v>
      </c>
      <c r="AF145">
        <v>113</v>
      </c>
      <c r="AG145">
        <v>74</v>
      </c>
    </row>
    <row r="146" spans="2:33" outlineLevel="1" x14ac:dyDescent="0.2">
      <c r="B146" t="s">
        <v>154</v>
      </c>
      <c r="C146" t="str">
        <f t="shared" si="0"/>
        <v>SniperTower L11</v>
      </c>
      <c r="D146" s="1" t="s">
        <v>243</v>
      </c>
      <c r="E146" s="2">
        <v>11</v>
      </c>
      <c r="F146" s="18">
        <v>1</v>
      </c>
      <c r="G146" s="48">
        <v>10711</v>
      </c>
      <c r="H146" s="48"/>
      <c r="I146" s="49">
        <v>10711</v>
      </c>
      <c r="J146" s="24">
        <v>334.71875</v>
      </c>
      <c r="K146" s="22">
        <v>2.987582858743348E-3</v>
      </c>
      <c r="N146">
        <v>8025</v>
      </c>
      <c r="O146">
        <v>7295</v>
      </c>
      <c r="P146">
        <v>6632</v>
      </c>
      <c r="Q146">
        <v>6029</v>
      </c>
      <c r="R146">
        <v>5481</v>
      </c>
      <c r="S146">
        <v>4983</v>
      </c>
      <c r="T146">
        <v>4530</v>
      </c>
      <c r="U146">
        <v>4118</v>
      </c>
      <c r="V146">
        <v>3743</v>
      </c>
      <c r="W146">
        <v>3403</v>
      </c>
      <c r="X146">
        <v>3094</v>
      </c>
      <c r="Y146">
        <v>2392</v>
      </c>
      <c r="Z146">
        <v>1814</v>
      </c>
      <c r="AA146">
        <v>1347</v>
      </c>
      <c r="AB146">
        <v>981</v>
      </c>
      <c r="AC146">
        <v>699</v>
      </c>
      <c r="AD146">
        <v>489</v>
      </c>
      <c r="AE146">
        <v>335</v>
      </c>
      <c r="AF146">
        <v>225</v>
      </c>
      <c r="AG146">
        <v>149</v>
      </c>
    </row>
    <row r="147" spans="2:33" outlineLevel="1" x14ac:dyDescent="0.2">
      <c r="B147" t="s">
        <v>154</v>
      </c>
      <c r="C147" t="str">
        <f t="shared" si="0"/>
        <v>SniperTower L12</v>
      </c>
      <c r="D147" s="1" t="s">
        <v>243</v>
      </c>
      <c r="E147" s="2">
        <v>12</v>
      </c>
      <c r="F147" s="18">
        <v>1</v>
      </c>
      <c r="G147" s="48">
        <v>19281</v>
      </c>
      <c r="H147" s="48"/>
      <c r="I147" s="49">
        <v>19281</v>
      </c>
      <c r="J147" s="24">
        <v>602.53125</v>
      </c>
      <c r="K147" s="22">
        <v>1.6596649551371817E-3</v>
      </c>
      <c r="N147">
        <v>13652</v>
      </c>
      <c r="O147">
        <v>12411</v>
      </c>
      <c r="P147">
        <v>11282</v>
      </c>
      <c r="Q147">
        <v>10256</v>
      </c>
      <c r="R147">
        <v>9325</v>
      </c>
      <c r="S147">
        <v>8476</v>
      </c>
      <c r="T147">
        <v>7706</v>
      </c>
      <c r="U147">
        <v>7005</v>
      </c>
      <c r="V147">
        <v>6369</v>
      </c>
      <c r="W147">
        <v>5790</v>
      </c>
      <c r="X147">
        <v>5263</v>
      </c>
      <c r="Y147">
        <v>4786</v>
      </c>
      <c r="Z147">
        <v>3626</v>
      </c>
      <c r="AA147">
        <v>2694</v>
      </c>
      <c r="AB147">
        <v>1961</v>
      </c>
      <c r="AC147">
        <v>1399</v>
      </c>
      <c r="AD147">
        <v>978</v>
      </c>
      <c r="AE147">
        <v>670</v>
      </c>
      <c r="AF147">
        <v>450</v>
      </c>
      <c r="AG147">
        <v>296</v>
      </c>
    </row>
    <row r="148" spans="2:33" outlineLevel="1" x14ac:dyDescent="0.2">
      <c r="B148" t="s">
        <v>154</v>
      </c>
      <c r="C148" t="str">
        <f t="shared" si="0"/>
        <v>SniperTower L13</v>
      </c>
      <c r="D148" s="1" t="s">
        <v>243</v>
      </c>
      <c r="E148" s="2">
        <v>13</v>
      </c>
      <c r="F148" s="18">
        <v>1</v>
      </c>
      <c r="G148" s="48">
        <v>34705</v>
      </c>
      <c r="H148" s="48"/>
      <c r="I148" s="49">
        <v>34705</v>
      </c>
      <c r="J148" s="24">
        <v>1084.53125</v>
      </c>
      <c r="K148" s="22">
        <v>9.2205734044085866E-4</v>
      </c>
      <c r="N148">
        <v>22761</v>
      </c>
      <c r="O148">
        <v>20692</v>
      </c>
      <c r="P148">
        <v>18811</v>
      </c>
      <c r="Q148">
        <v>17101</v>
      </c>
      <c r="R148">
        <v>15546</v>
      </c>
      <c r="S148">
        <v>14134</v>
      </c>
      <c r="T148">
        <v>12849</v>
      </c>
      <c r="U148">
        <v>11681</v>
      </c>
      <c r="V148">
        <v>10618</v>
      </c>
      <c r="W148">
        <v>9653</v>
      </c>
      <c r="X148">
        <v>8775</v>
      </c>
      <c r="Y148">
        <v>7978</v>
      </c>
      <c r="Z148">
        <v>7252</v>
      </c>
      <c r="AA148">
        <v>5387</v>
      </c>
      <c r="AB148">
        <v>3921</v>
      </c>
      <c r="AC148">
        <v>2797</v>
      </c>
      <c r="AD148">
        <v>1956</v>
      </c>
      <c r="AE148">
        <v>1339</v>
      </c>
      <c r="AF148">
        <v>900</v>
      </c>
      <c r="AG148">
        <v>592</v>
      </c>
    </row>
    <row r="149" spans="2:33" outlineLevel="1" x14ac:dyDescent="0.2">
      <c r="B149" t="s">
        <v>154</v>
      </c>
      <c r="C149" t="str">
        <f t="shared" si="0"/>
        <v>SniperTower L14</v>
      </c>
      <c r="D149" s="1" t="s">
        <v>243</v>
      </c>
      <c r="E149" s="2">
        <v>14</v>
      </c>
      <c r="F149" s="18">
        <v>1</v>
      </c>
      <c r="G149" s="48">
        <v>62469</v>
      </c>
      <c r="H149" s="48"/>
      <c r="I149" s="49">
        <v>62469</v>
      </c>
      <c r="J149" s="24">
        <v>1952.15625</v>
      </c>
      <c r="K149" s="22">
        <v>5.1225407802269927E-4</v>
      </c>
      <c r="N149">
        <v>37191</v>
      </c>
      <c r="O149">
        <v>33810</v>
      </c>
      <c r="P149">
        <v>30737</v>
      </c>
      <c r="Q149">
        <v>27943</v>
      </c>
      <c r="R149">
        <v>25402</v>
      </c>
      <c r="S149">
        <v>23093</v>
      </c>
      <c r="T149">
        <v>20993</v>
      </c>
      <c r="U149">
        <v>19086</v>
      </c>
      <c r="V149">
        <v>17350</v>
      </c>
      <c r="W149">
        <v>15773</v>
      </c>
      <c r="X149">
        <v>14339</v>
      </c>
      <c r="Y149">
        <v>13035</v>
      </c>
      <c r="Z149">
        <v>11851</v>
      </c>
      <c r="AA149">
        <v>10773</v>
      </c>
      <c r="AB149">
        <v>7842</v>
      </c>
      <c r="AC149">
        <v>5594</v>
      </c>
      <c r="AD149">
        <v>3910</v>
      </c>
      <c r="AE149">
        <v>2678</v>
      </c>
      <c r="AF149">
        <v>1799</v>
      </c>
      <c r="AG149">
        <v>1183</v>
      </c>
    </row>
    <row r="150" spans="2:33" outlineLevel="1" x14ac:dyDescent="0.2">
      <c r="B150" t="s">
        <v>154</v>
      </c>
      <c r="C150" t="str">
        <f t="shared" si="0"/>
        <v>SniperTower L15</v>
      </c>
      <c r="D150" s="1" t="s">
        <v>243</v>
      </c>
      <c r="E150" s="2">
        <v>15</v>
      </c>
      <c r="F150" s="18">
        <v>1</v>
      </c>
      <c r="G150" s="48">
        <v>112444</v>
      </c>
      <c r="H150" s="48"/>
      <c r="I150" s="49">
        <v>112444</v>
      </c>
      <c r="J150" s="24">
        <v>3513.875</v>
      </c>
      <c r="K150" s="22">
        <v>2.8458610508341932E-4</v>
      </c>
      <c r="N150">
        <v>59555</v>
      </c>
      <c r="O150">
        <v>54140</v>
      </c>
      <c r="P150">
        <v>49218</v>
      </c>
      <c r="Q150">
        <v>44744</v>
      </c>
      <c r="R150">
        <v>40676</v>
      </c>
      <c r="S150">
        <v>36979</v>
      </c>
      <c r="T150">
        <v>33617</v>
      </c>
      <c r="U150">
        <v>30561</v>
      </c>
      <c r="V150">
        <v>27783</v>
      </c>
      <c r="W150">
        <v>25257</v>
      </c>
      <c r="X150">
        <v>22961</v>
      </c>
      <c r="Y150">
        <v>20874</v>
      </c>
      <c r="Z150">
        <v>18976</v>
      </c>
      <c r="AA150">
        <v>17251</v>
      </c>
      <c r="AB150">
        <v>15683</v>
      </c>
      <c r="AC150">
        <v>11187</v>
      </c>
      <c r="AD150">
        <v>7820</v>
      </c>
      <c r="AE150">
        <v>5358</v>
      </c>
      <c r="AF150">
        <v>3597</v>
      </c>
      <c r="AG150">
        <v>2366</v>
      </c>
    </row>
    <row r="151" spans="2:33" outlineLevel="1" x14ac:dyDescent="0.2">
      <c r="B151" t="s">
        <v>154</v>
      </c>
      <c r="C151" t="str">
        <f t="shared" si="0"/>
        <v>SniperTower L16</v>
      </c>
      <c r="D151" s="1" t="s">
        <v>243</v>
      </c>
      <c r="E151" s="2">
        <v>16</v>
      </c>
      <c r="F151" s="18">
        <v>1</v>
      </c>
      <c r="G151" s="48">
        <v>202399</v>
      </c>
      <c r="H151" s="48"/>
      <c r="I151" s="49">
        <v>202399</v>
      </c>
      <c r="J151" s="24">
        <v>6324.96875</v>
      </c>
      <c r="K151" s="22">
        <v>1.5810354794243054E-4</v>
      </c>
      <c r="N151">
        <v>93456</v>
      </c>
      <c r="O151">
        <v>84961</v>
      </c>
      <c r="P151">
        <v>77237</v>
      </c>
      <c r="Q151">
        <v>70216</v>
      </c>
      <c r="R151">
        <v>63832</v>
      </c>
      <c r="S151">
        <v>58029</v>
      </c>
      <c r="T151">
        <v>52753</v>
      </c>
      <c r="U151">
        <v>47959</v>
      </c>
      <c r="V151">
        <v>43598</v>
      </c>
      <c r="W151">
        <v>39635</v>
      </c>
      <c r="X151">
        <v>36032</v>
      </c>
      <c r="Y151">
        <v>32756</v>
      </c>
      <c r="Z151">
        <v>29778</v>
      </c>
      <c r="AA151">
        <v>27071</v>
      </c>
      <c r="AB151">
        <v>24611</v>
      </c>
      <c r="AC151">
        <v>22373</v>
      </c>
      <c r="AD151">
        <v>15639</v>
      </c>
      <c r="AE151">
        <v>10715</v>
      </c>
      <c r="AF151">
        <v>7194</v>
      </c>
      <c r="AG151">
        <v>4732</v>
      </c>
    </row>
    <row r="152" spans="2:33" outlineLevel="1" x14ac:dyDescent="0.2">
      <c r="B152" t="s">
        <v>154</v>
      </c>
      <c r="C152" t="str">
        <f t="shared" si="0"/>
        <v>SniperTower L17</v>
      </c>
      <c r="D152" s="1" t="s">
        <v>243</v>
      </c>
      <c r="E152" s="2">
        <v>17</v>
      </c>
      <c r="F152" s="18">
        <v>1</v>
      </c>
      <c r="G152" s="48">
        <v>364319</v>
      </c>
      <c r="H152" s="48"/>
      <c r="I152" s="49">
        <v>364319</v>
      </c>
      <c r="J152" s="24">
        <v>11384.96875</v>
      </c>
      <c r="K152" s="22">
        <v>8.7835111536867417E-5</v>
      </c>
      <c r="N152">
        <v>143725</v>
      </c>
      <c r="O152">
        <v>130659</v>
      </c>
      <c r="P152">
        <v>118780</v>
      </c>
      <c r="Q152">
        <v>107983</v>
      </c>
      <c r="R152">
        <v>98166</v>
      </c>
      <c r="S152">
        <v>89242</v>
      </c>
      <c r="T152">
        <v>81129</v>
      </c>
      <c r="U152">
        <v>73754</v>
      </c>
      <c r="V152">
        <v>67049</v>
      </c>
      <c r="W152">
        <v>60953</v>
      </c>
      <c r="X152">
        <v>55412</v>
      </c>
      <c r="Y152">
        <v>50375</v>
      </c>
      <c r="Z152">
        <v>45795</v>
      </c>
      <c r="AA152">
        <v>41632</v>
      </c>
      <c r="AB152">
        <v>37848</v>
      </c>
      <c r="AC152">
        <v>34407</v>
      </c>
      <c r="AD152">
        <v>31280</v>
      </c>
      <c r="AE152">
        <v>21428</v>
      </c>
      <c r="AF152">
        <v>14386</v>
      </c>
      <c r="AG152">
        <v>9466</v>
      </c>
    </row>
    <row r="153" spans="2:33" outlineLevel="1" x14ac:dyDescent="0.2">
      <c r="B153" t="s">
        <v>154</v>
      </c>
      <c r="C153" t="str">
        <f t="shared" si="0"/>
        <v>SniperTower L18</v>
      </c>
      <c r="D153" s="1" t="s">
        <v>243</v>
      </c>
      <c r="E153" s="2">
        <v>18</v>
      </c>
      <c r="F153" s="18">
        <v>1</v>
      </c>
      <c r="G153" s="48">
        <v>655773</v>
      </c>
      <c r="H153" s="48"/>
      <c r="I153" s="49">
        <v>655773</v>
      </c>
      <c r="J153" s="24">
        <v>20492.90625</v>
      </c>
      <c r="K153" s="22">
        <v>4.8797373481372362E-5</v>
      </c>
      <c r="N153">
        <v>216611</v>
      </c>
      <c r="O153">
        <v>196919</v>
      </c>
      <c r="P153">
        <v>179018</v>
      </c>
      <c r="Q153">
        <v>162743</v>
      </c>
      <c r="R153">
        <v>147948</v>
      </c>
      <c r="S153">
        <v>134498</v>
      </c>
      <c r="T153">
        <v>122272</v>
      </c>
      <c r="U153">
        <v>111156</v>
      </c>
      <c r="V153">
        <v>101051</v>
      </c>
      <c r="W153">
        <v>91865</v>
      </c>
      <c r="X153">
        <v>83514</v>
      </c>
      <c r="Y153">
        <v>75922</v>
      </c>
      <c r="Z153">
        <v>69020</v>
      </c>
      <c r="AA153">
        <v>62745</v>
      </c>
      <c r="AB153">
        <v>57041</v>
      </c>
      <c r="AC153">
        <v>51855</v>
      </c>
      <c r="AD153">
        <v>47142</v>
      </c>
      <c r="AE153">
        <v>42856</v>
      </c>
      <c r="AF153">
        <v>28772</v>
      </c>
      <c r="AG153">
        <v>18930</v>
      </c>
    </row>
    <row r="154" spans="2:33" outlineLevel="1" x14ac:dyDescent="0.2">
      <c r="B154" t="s">
        <v>154</v>
      </c>
      <c r="C154" t="str">
        <f t="shared" si="0"/>
        <v>SniperTower L19</v>
      </c>
      <c r="D154" s="1" t="s">
        <v>243</v>
      </c>
      <c r="E154" s="2">
        <v>19</v>
      </c>
      <c r="F154" s="18">
        <v>1</v>
      </c>
      <c r="G154" s="48">
        <v>1180392</v>
      </c>
      <c r="H154" s="48"/>
      <c r="I154" s="49">
        <v>1180392</v>
      </c>
      <c r="J154" s="24">
        <v>36887.25</v>
      </c>
      <c r="K154" s="22">
        <v>2.7109638154104739E-5</v>
      </c>
      <c r="N154">
        <v>319932</v>
      </c>
      <c r="O154">
        <v>290846</v>
      </c>
      <c r="P154">
        <v>264406</v>
      </c>
      <c r="Q154">
        <v>240369</v>
      </c>
      <c r="R154">
        <v>218517</v>
      </c>
      <c r="S154">
        <v>198652</v>
      </c>
      <c r="T154">
        <v>180593</v>
      </c>
      <c r="U154">
        <v>164175</v>
      </c>
      <c r="V154">
        <v>149250</v>
      </c>
      <c r="W154">
        <v>135683</v>
      </c>
      <c r="X154">
        <v>123348</v>
      </c>
      <c r="Y154">
        <v>112134</v>
      </c>
      <c r="Z154">
        <v>101940</v>
      </c>
      <c r="AA154">
        <v>92673</v>
      </c>
      <c r="AB154">
        <v>84248</v>
      </c>
      <c r="AC154">
        <v>76589</v>
      </c>
      <c r="AD154">
        <v>69626</v>
      </c>
      <c r="AE154">
        <v>63297</v>
      </c>
      <c r="AF154">
        <v>57543</v>
      </c>
      <c r="AG154">
        <v>37860</v>
      </c>
    </row>
    <row r="155" spans="2:33" outlineLevel="1" x14ac:dyDescent="0.2">
      <c r="B155" t="s">
        <v>154</v>
      </c>
      <c r="C155" t="str">
        <f t="shared" ref="C155:C218" si="1">D155&amp;" L"&amp;E155</f>
        <v>SniperTower L20</v>
      </c>
      <c r="D155" s="1" t="s">
        <v>243</v>
      </c>
      <c r="E155" s="2">
        <v>20</v>
      </c>
      <c r="F155" s="18">
        <v>1</v>
      </c>
      <c r="G155" s="48">
        <v>2124706</v>
      </c>
      <c r="H155" s="48"/>
      <c r="I155" s="49">
        <v>2124706</v>
      </c>
      <c r="J155" s="24">
        <v>66397.0625</v>
      </c>
      <c r="K155" s="22">
        <v>1.506090725022662E-5</v>
      </c>
      <c r="N155">
        <v>463082</v>
      </c>
      <c r="O155">
        <v>420984</v>
      </c>
      <c r="P155">
        <v>382713</v>
      </c>
      <c r="Q155">
        <v>347921</v>
      </c>
      <c r="R155">
        <v>316292</v>
      </c>
      <c r="S155">
        <v>287538</v>
      </c>
      <c r="T155">
        <v>261398</v>
      </c>
      <c r="U155">
        <v>237635</v>
      </c>
      <c r="V155">
        <v>216031</v>
      </c>
      <c r="W155">
        <v>196393</v>
      </c>
      <c r="X155">
        <v>178539</v>
      </c>
      <c r="Y155">
        <v>162308</v>
      </c>
      <c r="Z155">
        <v>147553</v>
      </c>
      <c r="AA155">
        <v>134139</v>
      </c>
      <c r="AB155">
        <v>121945</v>
      </c>
      <c r="AC155">
        <v>110859</v>
      </c>
      <c r="AD155">
        <v>100781</v>
      </c>
      <c r="AE155">
        <v>91619</v>
      </c>
      <c r="AF155">
        <v>83290</v>
      </c>
      <c r="AG155">
        <v>75718</v>
      </c>
    </row>
    <row r="156" spans="2:33" s="27" customFormat="1" x14ac:dyDescent="0.2">
      <c r="B156" s="27" t="s">
        <v>154</v>
      </c>
      <c r="C156" s="27" t="str">
        <f t="shared" si="1"/>
        <v>NeedleTower L-1</v>
      </c>
      <c r="D156" s="29" t="s">
        <v>244</v>
      </c>
      <c r="E156" s="30">
        <v>-1</v>
      </c>
      <c r="F156" s="31">
        <v>1</v>
      </c>
      <c r="G156" s="46">
        <v>11</v>
      </c>
      <c r="H156" s="46"/>
      <c r="I156" s="47">
        <v>11</v>
      </c>
      <c r="J156" s="33">
        <v>0.34375</v>
      </c>
      <c r="K156" s="34">
        <v>2.9090909090909092</v>
      </c>
      <c r="L156" s="35"/>
      <c r="N156" s="27">
        <v>4</v>
      </c>
      <c r="O156" s="27">
        <v>3</v>
      </c>
      <c r="P156" s="27">
        <v>3</v>
      </c>
      <c r="Q156" s="27">
        <v>3</v>
      </c>
      <c r="R156" s="27">
        <v>3</v>
      </c>
      <c r="S156" s="27">
        <v>3</v>
      </c>
      <c r="T156" s="27">
        <v>3</v>
      </c>
      <c r="U156" s="27">
        <v>2</v>
      </c>
      <c r="V156" s="27">
        <v>2</v>
      </c>
      <c r="W156" s="27">
        <v>2</v>
      </c>
      <c r="X156" s="27">
        <v>2</v>
      </c>
      <c r="Y156" s="27">
        <v>2</v>
      </c>
      <c r="Z156" s="27">
        <v>2</v>
      </c>
      <c r="AA156" s="27">
        <v>2</v>
      </c>
      <c r="AB156" s="27">
        <v>2</v>
      </c>
      <c r="AC156" s="27">
        <v>2</v>
      </c>
      <c r="AD156" s="27">
        <v>2</v>
      </c>
      <c r="AE156" s="27">
        <v>2</v>
      </c>
      <c r="AF156" s="27">
        <v>2</v>
      </c>
      <c r="AG156" s="27">
        <v>2</v>
      </c>
    </row>
    <row r="157" spans="2:33" x14ac:dyDescent="0.2">
      <c r="B157" t="s">
        <v>154</v>
      </c>
      <c r="C157" t="str">
        <f t="shared" si="1"/>
        <v>NeedleTower L0</v>
      </c>
      <c r="D157" s="1" t="s">
        <v>244</v>
      </c>
      <c r="E157" s="2">
        <v>0</v>
      </c>
      <c r="F157" s="18">
        <v>1</v>
      </c>
      <c r="G157" s="48">
        <v>19</v>
      </c>
      <c r="H157" s="48"/>
      <c r="I157" s="49">
        <v>19</v>
      </c>
      <c r="J157" s="24">
        <v>0.59375</v>
      </c>
      <c r="K157" s="22">
        <v>1.6842105263157894</v>
      </c>
      <c r="N157">
        <v>7</v>
      </c>
      <c r="O157">
        <v>6</v>
      </c>
      <c r="P157">
        <v>6</v>
      </c>
      <c r="Q157">
        <v>5</v>
      </c>
      <c r="R157">
        <v>5</v>
      </c>
      <c r="S157">
        <v>4</v>
      </c>
      <c r="T157">
        <v>4</v>
      </c>
      <c r="U157">
        <v>4</v>
      </c>
      <c r="V157">
        <v>3</v>
      </c>
      <c r="W157">
        <v>3</v>
      </c>
      <c r="X157">
        <v>3</v>
      </c>
      <c r="Y157">
        <v>2</v>
      </c>
      <c r="Z157">
        <v>2</v>
      </c>
      <c r="AA157">
        <v>2</v>
      </c>
      <c r="AB157">
        <v>2</v>
      </c>
      <c r="AC157">
        <v>2</v>
      </c>
      <c r="AD157">
        <v>2</v>
      </c>
      <c r="AE157">
        <v>2</v>
      </c>
      <c r="AF157">
        <v>2</v>
      </c>
      <c r="AG157">
        <v>2</v>
      </c>
    </row>
    <row r="158" spans="2:33" x14ac:dyDescent="0.2">
      <c r="B158" t="s">
        <v>154</v>
      </c>
      <c r="C158" t="str">
        <f t="shared" si="1"/>
        <v>NeedleTower L1</v>
      </c>
      <c r="D158" s="1" t="s">
        <v>244</v>
      </c>
      <c r="E158" s="2">
        <v>1</v>
      </c>
      <c r="F158" s="18">
        <v>1</v>
      </c>
      <c r="G158" s="50">
        <v>35</v>
      </c>
      <c r="H158" s="50"/>
      <c r="I158" s="49">
        <v>35</v>
      </c>
      <c r="J158" s="24">
        <v>1.09375</v>
      </c>
      <c r="K158" s="22">
        <v>0.91428571428571426</v>
      </c>
      <c r="N158">
        <v>15</v>
      </c>
      <c r="O158">
        <v>13</v>
      </c>
      <c r="P158">
        <v>12</v>
      </c>
      <c r="Q158">
        <v>11</v>
      </c>
      <c r="R158">
        <v>10</v>
      </c>
      <c r="S158">
        <v>9</v>
      </c>
      <c r="T158">
        <v>8</v>
      </c>
      <c r="U158">
        <v>7</v>
      </c>
      <c r="V158">
        <v>6</v>
      </c>
      <c r="W158">
        <v>5</v>
      </c>
      <c r="X158">
        <v>4</v>
      </c>
      <c r="Y158">
        <v>4</v>
      </c>
      <c r="Z158">
        <v>3</v>
      </c>
      <c r="AA158">
        <v>3</v>
      </c>
      <c r="AB158">
        <v>2</v>
      </c>
      <c r="AC158">
        <v>2</v>
      </c>
      <c r="AD158">
        <v>2</v>
      </c>
      <c r="AE158">
        <v>2</v>
      </c>
      <c r="AF158">
        <v>2</v>
      </c>
      <c r="AG158">
        <v>2</v>
      </c>
    </row>
    <row r="159" spans="2:33" outlineLevel="1" x14ac:dyDescent="0.2">
      <c r="B159" t="s">
        <v>154</v>
      </c>
      <c r="C159" t="str">
        <f t="shared" si="1"/>
        <v>NeedleTower L2</v>
      </c>
      <c r="D159" s="1" t="s">
        <v>244</v>
      </c>
      <c r="E159" s="2">
        <v>2</v>
      </c>
      <c r="F159" s="18">
        <v>1</v>
      </c>
      <c r="G159" s="48">
        <v>63</v>
      </c>
      <c r="H159" s="48"/>
      <c r="I159" s="49">
        <v>63</v>
      </c>
      <c r="J159" s="24">
        <v>1.96875</v>
      </c>
      <c r="K159" s="22">
        <v>0.50793650793650791</v>
      </c>
      <c r="N159">
        <v>23</v>
      </c>
      <c r="O159">
        <v>26</v>
      </c>
      <c r="P159">
        <v>24</v>
      </c>
      <c r="Q159">
        <v>21</v>
      </c>
      <c r="R159">
        <v>20</v>
      </c>
      <c r="S159">
        <v>17</v>
      </c>
      <c r="T159">
        <v>15</v>
      </c>
      <c r="U159">
        <v>12</v>
      </c>
      <c r="V159">
        <v>10</v>
      </c>
      <c r="W159">
        <v>9</v>
      </c>
      <c r="X159">
        <v>7</v>
      </c>
      <c r="Y159">
        <v>6</v>
      </c>
      <c r="Z159">
        <v>5</v>
      </c>
      <c r="AA159">
        <v>4</v>
      </c>
      <c r="AB159">
        <v>3</v>
      </c>
      <c r="AC159">
        <v>3</v>
      </c>
      <c r="AD159">
        <v>2</v>
      </c>
      <c r="AE159">
        <v>2</v>
      </c>
      <c r="AF159">
        <v>2</v>
      </c>
      <c r="AG159">
        <v>2</v>
      </c>
    </row>
    <row r="160" spans="2:33" outlineLevel="1" x14ac:dyDescent="0.2">
      <c r="B160" t="s">
        <v>154</v>
      </c>
      <c r="C160" t="str">
        <f t="shared" si="1"/>
        <v>NeedleTower L3</v>
      </c>
      <c r="D160" s="1" t="s">
        <v>244</v>
      </c>
      <c r="E160" s="2">
        <v>3</v>
      </c>
      <c r="F160" s="18">
        <v>1</v>
      </c>
      <c r="G160" s="48">
        <v>113</v>
      </c>
      <c r="H160" s="48"/>
      <c r="I160" s="49">
        <v>113</v>
      </c>
      <c r="J160" s="24">
        <v>3.53125</v>
      </c>
      <c r="K160" s="22">
        <v>0.2831858407079646</v>
      </c>
      <c r="N160">
        <v>46</v>
      </c>
      <c r="O160">
        <v>42</v>
      </c>
      <c r="P160">
        <v>47</v>
      </c>
      <c r="Q160">
        <v>42</v>
      </c>
      <c r="R160">
        <v>38</v>
      </c>
      <c r="S160">
        <v>33</v>
      </c>
      <c r="T160">
        <v>29</v>
      </c>
      <c r="U160">
        <v>24</v>
      </c>
      <c r="V160">
        <v>20</v>
      </c>
      <c r="W160">
        <v>17</v>
      </c>
      <c r="X160">
        <v>13</v>
      </c>
      <c r="Y160">
        <v>10</v>
      </c>
      <c r="Z160">
        <v>8</v>
      </c>
      <c r="AA160">
        <v>6</v>
      </c>
      <c r="AB160">
        <v>5</v>
      </c>
      <c r="AC160">
        <v>4</v>
      </c>
      <c r="AD160">
        <v>3</v>
      </c>
      <c r="AE160">
        <v>3</v>
      </c>
      <c r="AF160">
        <v>2</v>
      </c>
      <c r="AG160">
        <v>2</v>
      </c>
    </row>
    <row r="161" spans="2:33" outlineLevel="1" x14ac:dyDescent="0.2">
      <c r="B161" t="s">
        <v>154</v>
      </c>
      <c r="C161" t="str">
        <f t="shared" si="1"/>
        <v>NeedleTower L4</v>
      </c>
      <c r="D161" s="1" t="s">
        <v>244</v>
      </c>
      <c r="E161" s="2">
        <v>4</v>
      </c>
      <c r="F161" s="18">
        <v>1</v>
      </c>
      <c r="G161" s="48">
        <v>204</v>
      </c>
      <c r="H161" s="48"/>
      <c r="I161" s="49">
        <v>204</v>
      </c>
      <c r="J161" s="24">
        <v>6.375</v>
      </c>
      <c r="K161" s="22">
        <v>0.15686274509803921</v>
      </c>
      <c r="N161">
        <v>91</v>
      </c>
      <c r="O161">
        <v>83</v>
      </c>
      <c r="P161">
        <v>75</v>
      </c>
      <c r="Q161">
        <v>83</v>
      </c>
      <c r="R161">
        <v>75</v>
      </c>
      <c r="S161">
        <v>65</v>
      </c>
      <c r="T161">
        <v>56</v>
      </c>
      <c r="U161">
        <v>47</v>
      </c>
      <c r="V161">
        <v>39</v>
      </c>
      <c r="W161">
        <v>32</v>
      </c>
      <c r="X161">
        <v>25</v>
      </c>
      <c r="Y161">
        <v>20</v>
      </c>
      <c r="Z161">
        <v>16</v>
      </c>
      <c r="AA161">
        <v>11</v>
      </c>
      <c r="AB161">
        <v>9</v>
      </c>
      <c r="AC161">
        <v>6</v>
      </c>
      <c r="AD161">
        <v>5</v>
      </c>
      <c r="AE161">
        <v>4</v>
      </c>
      <c r="AF161">
        <v>3</v>
      </c>
      <c r="AG161">
        <v>3</v>
      </c>
    </row>
    <row r="162" spans="2:33" outlineLevel="1" x14ac:dyDescent="0.2">
      <c r="B162" t="s">
        <v>154</v>
      </c>
      <c r="C162" t="str">
        <f t="shared" si="1"/>
        <v>NeedleTower L5</v>
      </c>
      <c r="D162" s="1" t="s">
        <v>244</v>
      </c>
      <c r="E162" s="2">
        <v>5</v>
      </c>
      <c r="F162" s="18">
        <v>1</v>
      </c>
      <c r="G162" s="48">
        <v>367</v>
      </c>
      <c r="H162" s="48"/>
      <c r="I162" s="49">
        <v>367</v>
      </c>
      <c r="J162" s="24">
        <v>11.46875</v>
      </c>
      <c r="K162" s="22">
        <v>8.7193460490463212E-2</v>
      </c>
      <c r="N162">
        <v>181</v>
      </c>
      <c r="O162">
        <v>165</v>
      </c>
      <c r="P162">
        <v>150</v>
      </c>
      <c r="Q162">
        <v>137</v>
      </c>
      <c r="R162">
        <v>149</v>
      </c>
      <c r="S162">
        <v>130</v>
      </c>
      <c r="T162">
        <v>111</v>
      </c>
      <c r="U162">
        <v>94</v>
      </c>
      <c r="V162">
        <v>77</v>
      </c>
      <c r="W162">
        <v>62</v>
      </c>
      <c r="X162">
        <v>49</v>
      </c>
      <c r="Y162">
        <v>38</v>
      </c>
      <c r="Z162">
        <v>30</v>
      </c>
      <c r="AA162">
        <v>22</v>
      </c>
      <c r="AB162">
        <v>17</v>
      </c>
      <c r="AC162">
        <v>12</v>
      </c>
      <c r="AD162">
        <v>8</v>
      </c>
      <c r="AE162">
        <v>6</v>
      </c>
      <c r="AF162">
        <v>5</v>
      </c>
      <c r="AG162">
        <v>4</v>
      </c>
    </row>
    <row r="163" spans="2:33" outlineLevel="1" x14ac:dyDescent="0.2">
      <c r="B163" t="s">
        <v>154</v>
      </c>
      <c r="C163" t="str">
        <f t="shared" si="1"/>
        <v>NeedleTower L6</v>
      </c>
      <c r="D163" s="1" t="s">
        <v>244</v>
      </c>
      <c r="E163" s="2">
        <v>6</v>
      </c>
      <c r="F163" s="18">
        <v>1</v>
      </c>
      <c r="G163" s="48">
        <v>661</v>
      </c>
      <c r="H163" s="48"/>
      <c r="I163" s="49">
        <v>661</v>
      </c>
      <c r="J163" s="24">
        <v>20.65625</v>
      </c>
      <c r="K163" s="22">
        <v>4.8411497730711045E-2</v>
      </c>
      <c r="N163">
        <v>361</v>
      </c>
      <c r="O163">
        <v>329</v>
      </c>
      <c r="P163">
        <v>298</v>
      </c>
      <c r="Q163">
        <v>271</v>
      </c>
      <c r="R163">
        <v>246</v>
      </c>
      <c r="S163">
        <v>258</v>
      </c>
      <c r="T163">
        <v>221</v>
      </c>
      <c r="U163">
        <v>186</v>
      </c>
      <c r="V163">
        <v>152</v>
      </c>
      <c r="W163">
        <v>123</v>
      </c>
      <c r="X163">
        <v>97</v>
      </c>
      <c r="Y163">
        <v>75</v>
      </c>
      <c r="Z163">
        <v>57</v>
      </c>
      <c r="AA163">
        <v>43</v>
      </c>
      <c r="AB163">
        <v>31</v>
      </c>
      <c r="AC163">
        <v>22</v>
      </c>
      <c r="AD163">
        <v>16</v>
      </c>
      <c r="AE163">
        <v>11</v>
      </c>
      <c r="AF163">
        <v>7</v>
      </c>
      <c r="AG163">
        <v>5</v>
      </c>
    </row>
    <row r="164" spans="2:33" outlineLevel="1" x14ac:dyDescent="0.2">
      <c r="B164" t="s">
        <v>154</v>
      </c>
      <c r="C164" t="str">
        <f t="shared" si="1"/>
        <v>NeedleTower L7</v>
      </c>
      <c r="D164" s="1" t="s">
        <v>244</v>
      </c>
      <c r="E164" s="2">
        <v>7</v>
      </c>
      <c r="F164" s="18">
        <v>1</v>
      </c>
      <c r="G164" s="48">
        <v>1190</v>
      </c>
      <c r="H164" s="48"/>
      <c r="I164" s="49">
        <v>1190</v>
      </c>
      <c r="J164" s="24">
        <v>37.1875</v>
      </c>
      <c r="K164" s="22">
        <v>2.689075630252101E-2</v>
      </c>
      <c r="N164">
        <v>722</v>
      </c>
      <c r="O164">
        <v>657</v>
      </c>
      <c r="P164">
        <v>597</v>
      </c>
      <c r="Q164">
        <v>542</v>
      </c>
      <c r="R164">
        <v>493</v>
      </c>
      <c r="S164">
        <v>449</v>
      </c>
      <c r="T164">
        <v>442</v>
      </c>
      <c r="U164">
        <v>371</v>
      </c>
      <c r="V164">
        <v>305</v>
      </c>
      <c r="W164">
        <v>245</v>
      </c>
      <c r="X164">
        <v>193</v>
      </c>
      <c r="Y164">
        <v>150</v>
      </c>
      <c r="Z164">
        <v>114</v>
      </c>
      <c r="AA164">
        <v>85</v>
      </c>
      <c r="AB164">
        <v>62</v>
      </c>
      <c r="AC164">
        <v>44</v>
      </c>
      <c r="AD164">
        <v>31</v>
      </c>
      <c r="AE164">
        <v>21</v>
      </c>
      <c r="AF164">
        <v>15</v>
      </c>
      <c r="AG164">
        <v>10</v>
      </c>
    </row>
    <row r="165" spans="2:33" outlineLevel="1" x14ac:dyDescent="0.2">
      <c r="B165" t="s">
        <v>154</v>
      </c>
      <c r="C165" t="str">
        <f t="shared" si="1"/>
        <v>NeedleTower L8</v>
      </c>
      <c r="D165" s="1" t="s">
        <v>244</v>
      </c>
      <c r="E165" s="2">
        <v>8</v>
      </c>
      <c r="F165" s="18">
        <v>1</v>
      </c>
      <c r="G165" s="48">
        <v>2143</v>
      </c>
      <c r="H165" s="48"/>
      <c r="I165" s="49">
        <v>2143</v>
      </c>
      <c r="J165" s="24">
        <v>66.96875</v>
      </c>
      <c r="K165" s="22">
        <v>1.4932337844143724E-2</v>
      </c>
      <c r="N165">
        <v>1443</v>
      </c>
      <c r="O165">
        <v>1312</v>
      </c>
      <c r="P165">
        <v>1193</v>
      </c>
      <c r="Q165">
        <v>1085</v>
      </c>
      <c r="R165">
        <v>986</v>
      </c>
      <c r="S165">
        <v>896</v>
      </c>
      <c r="T165">
        <v>815</v>
      </c>
      <c r="U165">
        <v>741</v>
      </c>
      <c r="V165">
        <v>609</v>
      </c>
      <c r="W165">
        <v>490</v>
      </c>
      <c r="X165">
        <v>387</v>
      </c>
      <c r="Y165">
        <v>299</v>
      </c>
      <c r="Z165">
        <v>227</v>
      </c>
      <c r="AA165">
        <v>168</v>
      </c>
      <c r="AB165">
        <v>123</v>
      </c>
      <c r="AC165">
        <v>88</v>
      </c>
      <c r="AD165">
        <v>61</v>
      </c>
      <c r="AE165">
        <v>43</v>
      </c>
      <c r="AF165">
        <v>29</v>
      </c>
      <c r="AG165">
        <v>19</v>
      </c>
    </row>
    <row r="166" spans="2:33" outlineLevel="1" x14ac:dyDescent="0.2">
      <c r="B166" t="s">
        <v>154</v>
      </c>
      <c r="C166" t="str">
        <f t="shared" si="1"/>
        <v>NeedleTower L9</v>
      </c>
      <c r="D166" s="1" t="s">
        <v>244</v>
      </c>
      <c r="E166" s="2">
        <v>9</v>
      </c>
      <c r="F166" s="18">
        <v>1</v>
      </c>
      <c r="G166" s="48">
        <v>3857</v>
      </c>
      <c r="H166" s="48"/>
      <c r="I166" s="49">
        <v>3857</v>
      </c>
      <c r="J166" s="24">
        <v>120.53125</v>
      </c>
      <c r="K166" s="22">
        <v>8.2966035779102922E-3</v>
      </c>
      <c r="N166">
        <v>2609</v>
      </c>
      <c r="O166">
        <v>2372</v>
      </c>
      <c r="P166">
        <v>2156</v>
      </c>
      <c r="Q166">
        <v>1960</v>
      </c>
      <c r="R166">
        <v>1783</v>
      </c>
      <c r="S166">
        <v>1620</v>
      </c>
      <c r="T166">
        <v>1473</v>
      </c>
      <c r="U166">
        <v>1339</v>
      </c>
      <c r="V166">
        <v>1217</v>
      </c>
      <c r="W166">
        <v>981</v>
      </c>
      <c r="X166">
        <v>774</v>
      </c>
      <c r="Y166">
        <v>598</v>
      </c>
      <c r="Z166">
        <v>453</v>
      </c>
      <c r="AA166">
        <v>337</v>
      </c>
      <c r="AB166">
        <v>245</v>
      </c>
      <c r="AC166">
        <v>175</v>
      </c>
      <c r="AD166">
        <v>123</v>
      </c>
      <c r="AE166">
        <v>84</v>
      </c>
      <c r="AF166">
        <v>57</v>
      </c>
      <c r="AG166">
        <v>37</v>
      </c>
    </row>
    <row r="167" spans="2:33" outlineLevel="1" x14ac:dyDescent="0.2">
      <c r="B167" t="s">
        <v>154</v>
      </c>
      <c r="C167" t="str">
        <f t="shared" si="1"/>
        <v>NeedleTower L10</v>
      </c>
      <c r="D167" s="1" t="s">
        <v>244</v>
      </c>
      <c r="E167" s="2">
        <v>10</v>
      </c>
      <c r="F167" s="18">
        <v>1</v>
      </c>
      <c r="G167" s="48">
        <v>6943</v>
      </c>
      <c r="H167" s="48"/>
      <c r="I167" s="49">
        <v>6943</v>
      </c>
      <c r="J167" s="24">
        <v>216.96875</v>
      </c>
      <c r="K167" s="22">
        <v>4.6089586634019877E-3</v>
      </c>
      <c r="N167">
        <v>4622</v>
      </c>
      <c r="O167">
        <v>4202</v>
      </c>
      <c r="P167">
        <v>3820</v>
      </c>
      <c r="Q167">
        <v>3473</v>
      </c>
      <c r="R167">
        <v>3157</v>
      </c>
      <c r="S167">
        <v>2870</v>
      </c>
      <c r="T167">
        <v>2609</v>
      </c>
      <c r="U167">
        <v>2372</v>
      </c>
      <c r="V167">
        <v>2156</v>
      </c>
      <c r="W167">
        <v>1960</v>
      </c>
      <c r="X167">
        <v>1547</v>
      </c>
      <c r="Y167">
        <v>1196</v>
      </c>
      <c r="Z167">
        <v>907</v>
      </c>
      <c r="AA167">
        <v>674</v>
      </c>
      <c r="AB167">
        <v>490</v>
      </c>
      <c r="AC167">
        <v>350</v>
      </c>
      <c r="AD167">
        <v>245</v>
      </c>
      <c r="AE167">
        <v>168</v>
      </c>
      <c r="AF167">
        <v>113</v>
      </c>
      <c r="AG167">
        <v>74</v>
      </c>
    </row>
    <row r="168" spans="2:33" outlineLevel="1" x14ac:dyDescent="0.2">
      <c r="B168" t="s">
        <v>154</v>
      </c>
      <c r="C168" t="str">
        <f t="shared" si="1"/>
        <v>NeedleTower L11</v>
      </c>
      <c r="D168" s="1" t="s">
        <v>244</v>
      </c>
      <c r="E168" s="2">
        <v>11</v>
      </c>
      <c r="F168" s="18">
        <v>1</v>
      </c>
      <c r="G168" s="48">
        <v>12497</v>
      </c>
      <c r="H168" s="48"/>
      <c r="I168" s="49">
        <v>12497</v>
      </c>
      <c r="J168" s="24">
        <v>390.53125</v>
      </c>
      <c r="K168" s="22">
        <v>2.5606145474913978E-3</v>
      </c>
      <c r="N168">
        <v>8025</v>
      </c>
      <c r="O168">
        <v>7295</v>
      </c>
      <c r="P168">
        <v>6632</v>
      </c>
      <c r="Q168">
        <v>6029</v>
      </c>
      <c r="R168">
        <v>5481</v>
      </c>
      <c r="S168">
        <v>4983</v>
      </c>
      <c r="T168">
        <v>4530</v>
      </c>
      <c r="U168">
        <v>4118</v>
      </c>
      <c r="V168">
        <v>3743</v>
      </c>
      <c r="W168">
        <v>3403</v>
      </c>
      <c r="X168">
        <v>3094</v>
      </c>
      <c r="Y168">
        <v>2392</v>
      </c>
      <c r="Z168">
        <v>1814</v>
      </c>
      <c r="AA168">
        <v>1347</v>
      </c>
      <c r="AB168">
        <v>981</v>
      </c>
      <c r="AC168">
        <v>699</v>
      </c>
      <c r="AD168">
        <v>489</v>
      </c>
      <c r="AE168">
        <v>335</v>
      </c>
      <c r="AF168">
        <v>225</v>
      </c>
      <c r="AG168">
        <v>149</v>
      </c>
    </row>
    <row r="169" spans="2:33" outlineLevel="1" x14ac:dyDescent="0.2">
      <c r="B169" t="s">
        <v>154</v>
      </c>
      <c r="C169" t="str">
        <f t="shared" si="1"/>
        <v>NeedleTower L12</v>
      </c>
      <c r="D169" s="1" t="s">
        <v>244</v>
      </c>
      <c r="E169" s="2">
        <v>12</v>
      </c>
      <c r="F169" s="18">
        <v>1</v>
      </c>
      <c r="G169" s="48">
        <v>22494</v>
      </c>
      <c r="H169" s="48"/>
      <c r="I169" s="49">
        <v>22494</v>
      </c>
      <c r="J169" s="24">
        <v>702.9375</v>
      </c>
      <c r="K169" s="22">
        <v>1.4226015826442606E-3</v>
      </c>
      <c r="N169">
        <v>13652</v>
      </c>
      <c r="O169">
        <v>12411</v>
      </c>
      <c r="P169">
        <v>11282</v>
      </c>
      <c r="Q169">
        <v>10256</v>
      </c>
      <c r="R169">
        <v>9325</v>
      </c>
      <c r="S169">
        <v>8476</v>
      </c>
      <c r="T169">
        <v>7706</v>
      </c>
      <c r="U169">
        <v>7005</v>
      </c>
      <c r="V169">
        <v>6369</v>
      </c>
      <c r="W169">
        <v>5790</v>
      </c>
      <c r="X169">
        <v>5263</v>
      </c>
      <c r="Y169">
        <v>4786</v>
      </c>
      <c r="Z169">
        <v>3626</v>
      </c>
      <c r="AA169">
        <v>2694</v>
      </c>
      <c r="AB169">
        <v>1961</v>
      </c>
      <c r="AC169">
        <v>1399</v>
      </c>
      <c r="AD169">
        <v>978</v>
      </c>
      <c r="AE169">
        <v>670</v>
      </c>
      <c r="AF169">
        <v>450</v>
      </c>
      <c r="AG169">
        <v>296</v>
      </c>
    </row>
    <row r="170" spans="2:33" outlineLevel="1" x14ac:dyDescent="0.2">
      <c r="B170" t="s">
        <v>154</v>
      </c>
      <c r="C170" t="str">
        <f t="shared" si="1"/>
        <v>NeedleTower L13</v>
      </c>
      <c r="D170" s="1" t="s">
        <v>244</v>
      </c>
      <c r="E170" s="2">
        <v>13</v>
      </c>
      <c r="F170" s="18">
        <v>1</v>
      </c>
      <c r="G170" s="48">
        <v>40489</v>
      </c>
      <c r="H170" s="48"/>
      <c r="I170" s="49">
        <v>40489</v>
      </c>
      <c r="J170" s="24">
        <v>1265.28125</v>
      </c>
      <c r="K170" s="22">
        <v>7.9033811652547603E-4</v>
      </c>
      <c r="N170">
        <v>22761</v>
      </c>
      <c r="O170">
        <v>20692</v>
      </c>
      <c r="P170">
        <v>18811</v>
      </c>
      <c r="Q170">
        <v>17101</v>
      </c>
      <c r="R170">
        <v>15546</v>
      </c>
      <c r="S170">
        <v>14134</v>
      </c>
      <c r="T170">
        <v>12849</v>
      </c>
      <c r="U170">
        <v>11681</v>
      </c>
      <c r="V170">
        <v>10618</v>
      </c>
      <c r="W170">
        <v>9653</v>
      </c>
      <c r="X170">
        <v>8775</v>
      </c>
      <c r="Y170">
        <v>7978</v>
      </c>
      <c r="Z170">
        <v>7252</v>
      </c>
      <c r="AA170">
        <v>5387</v>
      </c>
      <c r="AB170">
        <v>3921</v>
      </c>
      <c r="AC170">
        <v>2797</v>
      </c>
      <c r="AD170">
        <v>1956</v>
      </c>
      <c r="AE170">
        <v>1339</v>
      </c>
      <c r="AF170">
        <v>900</v>
      </c>
      <c r="AG170">
        <v>592</v>
      </c>
    </row>
    <row r="171" spans="2:33" outlineLevel="1" x14ac:dyDescent="0.2">
      <c r="B171" t="s">
        <v>154</v>
      </c>
      <c r="C171" t="str">
        <f t="shared" si="1"/>
        <v>NeedleTower L14</v>
      </c>
      <c r="D171" s="1" t="s">
        <v>244</v>
      </c>
      <c r="E171" s="2">
        <v>14</v>
      </c>
      <c r="F171" s="18">
        <v>1</v>
      </c>
      <c r="G171" s="48">
        <v>72880</v>
      </c>
      <c r="H171" s="48"/>
      <c r="I171" s="49">
        <v>72880</v>
      </c>
      <c r="J171" s="24">
        <v>2277.5</v>
      </c>
      <c r="K171" s="22">
        <v>4.3907793633369923E-4</v>
      </c>
      <c r="N171">
        <v>37191</v>
      </c>
      <c r="O171">
        <v>33810</v>
      </c>
      <c r="P171">
        <v>30737</v>
      </c>
      <c r="Q171">
        <v>27943</v>
      </c>
      <c r="R171">
        <v>25402</v>
      </c>
      <c r="S171">
        <v>23093</v>
      </c>
      <c r="T171">
        <v>20993</v>
      </c>
      <c r="U171">
        <v>19086</v>
      </c>
      <c r="V171">
        <v>17350</v>
      </c>
      <c r="W171">
        <v>15773</v>
      </c>
      <c r="X171">
        <v>14339</v>
      </c>
      <c r="Y171">
        <v>13035</v>
      </c>
      <c r="Z171">
        <v>11851</v>
      </c>
      <c r="AA171">
        <v>10773</v>
      </c>
      <c r="AB171">
        <v>7842</v>
      </c>
      <c r="AC171">
        <v>5594</v>
      </c>
      <c r="AD171">
        <v>3910</v>
      </c>
      <c r="AE171">
        <v>2678</v>
      </c>
      <c r="AF171">
        <v>1799</v>
      </c>
      <c r="AG171">
        <v>1183</v>
      </c>
    </row>
    <row r="172" spans="2:33" outlineLevel="1" x14ac:dyDescent="0.2">
      <c r="B172" t="s">
        <v>154</v>
      </c>
      <c r="C172" t="str">
        <f t="shared" si="1"/>
        <v>NeedleTower L15</v>
      </c>
      <c r="D172" s="1" t="s">
        <v>244</v>
      </c>
      <c r="E172" s="2">
        <v>15</v>
      </c>
      <c r="F172" s="18">
        <v>1</v>
      </c>
      <c r="G172" s="48">
        <v>131185</v>
      </c>
      <c r="H172" s="48"/>
      <c r="I172" s="49">
        <v>131185</v>
      </c>
      <c r="J172" s="24">
        <v>4099.53125</v>
      </c>
      <c r="K172" s="22">
        <v>2.4393032740023632E-4</v>
      </c>
      <c r="N172">
        <v>59555</v>
      </c>
      <c r="O172">
        <v>54140</v>
      </c>
      <c r="P172">
        <v>49218</v>
      </c>
      <c r="Q172">
        <v>44744</v>
      </c>
      <c r="R172">
        <v>40676</v>
      </c>
      <c r="S172">
        <v>36979</v>
      </c>
      <c r="T172">
        <v>33617</v>
      </c>
      <c r="U172">
        <v>30561</v>
      </c>
      <c r="V172">
        <v>27783</v>
      </c>
      <c r="W172">
        <v>25257</v>
      </c>
      <c r="X172">
        <v>22961</v>
      </c>
      <c r="Y172">
        <v>20874</v>
      </c>
      <c r="Z172">
        <v>18976</v>
      </c>
      <c r="AA172">
        <v>17251</v>
      </c>
      <c r="AB172">
        <v>15683</v>
      </c>
      <c r="AC172">
        <v>11187</v>
      </c>
      <c r="AD172">
        <v>7820</v>
      </c>
      <c r="AE172">
        <v>5358</v>
      </c>
      <c r="AF172">
        <v>3597</v>
      </c>
      <c r="AG172">
        <v>2366</v>
      </c>
    </row>
    <row r="173" spans="2:33" outlineLevel="1" x14ac:dyDescent="0.2">
      <c r="B173" t="s">
        <v>154</v>
      </c>
      <c r="C173" t="str">
        <f t="shared" si="1"/>
        <v>NeedleTower L16</v>
      </c>
      <c r="D173" s="1" t="s">
        <v>244</v>
      </c>
      <c r="E173" s="2">
        <v>16</v>
      </c>
      <c r="F173" s="18">
        <v>1</v>
      </c>
      <c r="G173" s="48">
        <v>236132</v>
      </c>
      <c r="H173" s="48"/>
      <c r="I173" s="49">
        <v>236132</v>
      </c>
      <c r="J173" s="24">
        <v>7379.125</v>
      </c>
      <c r="K173" s="22">
        <v>1.3551742245862484E-4</v>
      </c>
      <c r="N173">
        <v>93456</v>
      </c>
      <c r="O173">
        <v>84961</v>
      </c>
      <c r="P173">
        <v>77237</v>
      </c>
      <c r="Q173">
        <v>70216</v>
      </c>
      <c r="R173">
        <v>63832</v>
      </c>
      <c r="S173">
        <v>58029</v>
      </c>
      <c r="T173">
        <v>52753</v>
      </c>
      <c r="U173">
        <v>47959</v>
      </c>
      <c r="V173">
        <v>43598</v>
      </c>
      <c r="W173">
        <v>39635</v>
      </c>
      <c r="X173">
        <v>36032</v>
      </c>
      <c r="Y173">
        <v>32756</v>
      </c>
      <c r="Z173">
        <v>29778</v>
      </c>
      <c r="AA173">
        <v>27071</v>
      </c>
      <c r="AB173">
        <v>24611</v>
      </c>
      <c r="AC173">
        <v>22373</v>
      </c>
      <c r="AD173">
        <v>15639</v>
      </c>
      <c r="AE173">
        <v>10715</v>
      </c>
      <c r="AF173">
        <v>7194</v>
      </c>
      <c r="AG173">
        <v>4732</v>
      </c>
    </row>
    <row r="174" spans="2:33" outlineLevel="1" x14ac:dyDescent="0.2">
      <c r="B174" t="s">
        <v>154</v>
      </c>
      <c r="C174" t="str">
        <f t="shared" si="1"/>
        <v>NeedleTower L17</v>
      </c>
      <c r="D174" s="1" t="s">
        <v>244</v>
      </c>
      <c r="E174" s="2">
        <v>17</v>
      </c>
      <c r="F174" s="18">
        <v>1</v>
      </c>
      <c r="G174" s="48">
        <v>425038</v>
      </c>
      <c r="H174" s="48"/>
      <c r="I174" s="49">
        <v>425038</v>
      </c>
      <c r="J174" s="24">
        <v>13282.4375</v>
      </c>
      <c r="K174" s="22">
        <v>7.5287386069010297E-5</v>
      </c>
      <c r="N174">
        <v>143725</v>
      </c>
      <c r="O174">
        <v>130659</v>
      </c>
      <c r="P174">
        <v>118780</v>
      </c>
      <c r="Q174">
        <v>107983</v>
      </c>
      <c r="R174">
        <v>98166</v>
      </c>
      <c r="S174">
        <v>89242</v>
      </c>
      <c r="T174">
        <v>81129</v>
      </c>
      <c r="U174">
        <v>73754</v>
      </c>
      <c r="V174">
        <v>67049</v>
      </c>
      <c r="W174">
        <v>60953</v>
      </c>
      <c r="X174">
        <v>55412</v>
      </c>
      <c r="Y174">
        <v>50375</v>
      </c>
      <c r="Z174">
        <v>45795</v>
      </c>
      <c r="AA174">
        <v>41632</v>
      </c>
      <c r="AB174">
        <v>37848</v>
      </c>
      <c r="AC174">
        <v>34407</v>
      </c>
      <c r="AD174">
        <v>31280</v>
      </c>
      <c r="AE174">
        <v>21428</v>
      </c>
      <c r="AF174">
        <v>14386</v>
      </c>
      <c r="AG174">
        <v>9466</v>
      </c>
    </row>
    <row r="175" spans="2:33" outlineLevel="1" x14ac:dyDescent="0.2">
      <c r="B175" t="s">
        <v>154</v>
      </c>
      <c r="C175" t="str">
        <f t="shared" si="1"/>
        <v>NeedleTower L18</v>
      </c>
      <c r="D175" s="1" t="s">
        <v>244</v>
      </c>
      <c r="E175" s="2">
        <v>18</v>
      </c>
      <c r="F175" s="18">
        <v>1</v>
      </c>
      <c r="G175" s="48">
        <v>765069</v>
      </c>
      <c r="H175" s="48"/>
      <c r="I175" s="49">
        <v>765069</v>
      </c>
      <c r="J175" s="24">
        <v>23908.40625</v>
      </c>
      <c r="K175" s="22">
        <v>4.1826292791891971E-5</v>
      </c>
      <c r="N175">
        <v>216611</v>
      </c>
      <c r="O175">
        <v>196919</v>
      </c>
      <c r="P175">
        <v>179018</v>
      </c>
      <c r="Q175">
        <v>162743</v>
      </c>
      <c r="R175">
        <v>147948</v>
      </c>
      <c r="S175">
        <v>134498</v>
      </c>
      <c r="T175">
        <v>122272</v>
      </c>
      <c r="U175">
        <v>111156</v>
      </c>
      <c r="V175">
        <v>101051</v>
      </c>
      <c r="W175">
        <v>91865</v>
      </c>
      <c r="X175">
        <v>83514</v>
      </c>
      <c r="Y175">
        <v>75922</v>
      </c>
      <c r="Z175">
        <v>69020</v>
      </c>
      <c r="AA175">
        <v>62745</v>
      </c>
      <c r="AB175">
        <v>57041</v>
      </c>
      <c r="AC175">
        <v>51855</v>
      </c>
      <c r="AD175">
        <v>47142</v>
      </c>
      <c r="AE175">
        <v>42856</v>
      </c>
      <c r="AF175">
        <v>28772</v>
      </c>
      <c r="AG175">
        <v>18930</v>
      </c>
    </row>
    <row r="176" spans="2:33" outlineLevel="1" x14ac:dyDescent="0.2">
      <c r="B176" t="s">
        <v>154</v>
      </c>
      <c r="C176" t="str">
        <f t="shared" si="1"/>
        <v>NeedleTower L19</v>
      </c>
      <c r="D176" s="1" t="s">
        <v>244</v>
      </c>
      <c r="E176" s="2">
        <v>19</v>
      </c>
      <c r="F176" s="18">
        <v>1</v>
      </c>
      <c r="G176" s="48">
        <v>1377124</v>
      </c>
      <c r="H176" s="48"/>
      <c r="I176" s="49">
        <v>1377124</v>
      </c>
      <c r="J176" s="24">
        <v>43035.125</v>
      </c>
      <c r="K176" s="22">
        <v>2.3236832703518347E-5</v>
      </c>
      <c r="N176">
        <v>319932</v>
      </c>
      <c r="O176">
        <v>290846</v>
      </c>
      <c r="P176">
        <v>264406</v>
      </c>
      <c r="Q176">
        <v>240369</v>
      </c>
      <c r="R176">
        <v>218517</v>
      </c>
      <c r="S176">
        <v>198652</v>
      </c>
      <c r="T176">
        <v>180593</v>
      </c>
      <c r="U176">
        <v>164175</v>
      </c>
      <c r="V176">
        <v>149250</v>
      </c>
      <c r="W176">
        <v>135683</v>
      </c>
      <c r="X176">
        <v>123348</v>
      </c>
      <c r="Y176">
        <v>112134</v>
      </c>
      <c r="Z176">
        <v>101940</v>
      </c>
      <c r="AA176">
        <v>92673</v>
      </c>
      <c r="AB176">
        <v>84248</v>
      </c>
      <c r="AC176">
        <v>76589</v>
      </c>
      <c r="AD176">
        <v>69626</v>
      </c>
      <c r="AE176">
        <v>63297</v>
      </c>
      <c r="AF176">
        <v>57543</v>
      </c>
      <c r="AG176">
        <v>37860</v>
      </c>
    </row>
    <row r="177" spans="2:33" s="37" customFormat="1" outlineLevel="1" x14ac:dyDescent="0.2">
      <c r="B177" s="37" t="s">
        <v>154</v>
      </c>
      <c r="C177" s="37" t="str">
        <f t="shared" si="1"/>
        <v>NeedleTower L20</v>
      </c>
      <c r="D177" s="38" t="s">
        <v>244</v>
      </c>
      <c r="E177" s="39">
        <v>20</v>
      </c>
      <c r="F177" s="40">
        <v>1</v>
      </c>
      <c r="G177" s="51">
        <v>2478824</v>
      </c>
      <c r="H177" s="51"/>
      <c r="I177" s="52">
        <v>2478824</v>
      </c>
      <c r="J177" s="42">
        <v>77463.25</v>
      </c>
      <c r="K177" s="43">
        <v>1.2909347335672076E-5</v>
      </c>
      <c r="L177" s="44"/>
      <c r="N177" s="37">
        <v>463082</v>
      </c>
      <c r="O177" s="37">
        <v>420984</v>
      </c>
      <c r="P177" s="37">
        <v>382713</v>
      </c>
      <c r="Q177" s="37">
        <v>347921</v>
      </c>
      <c r="R177" s="37">
        <v>316292</v>
      </c>
      <c r="S177" s="37">
        <v>287538</v>
      </c>
      <c r="T177" s="37">
        <v>261398</v>
      </c>
      <c r="U177" s="37">
        <v>237635</v>
      </c>
      <c r="V177" s="37">
        <v>216031</v>
      </c>
      <c r="W177" s="37">
        <v>196393</v>
      </c>
      <c r="X177" s="37">
        <v>178539</v>
      </c>
      <c r="Y177" s="37">
        <v>162308</v>
      </c>
      <c r="Z177" s="37">
        <v>147553</v>
      </c>
      <c r="AA177" s="37">
        <v>134139</v>
      </c>
      <c r="AB177" s="37">
        <v>121945</v>
      </c>
      <c r="AC177" s="37">
        <v>110859</v>
      </c>
      <c r="AD177" s="37">
        <v>100781</v>
      </c>
      <c r="AE177" s="37">
        <v>91619</v>
      </c>
      <c r="AF177" s="37">
        <v>83290</v>
      </c>
      <c r="AG177" s="37">
        <v>75718</v>
      </c>
    </row>
    <row r="178" spans="2:33" x14ac:dyDescent="0.2">
      <c r="B178" t="s">
        <v>154</v>
      </c>
      <c r="C178" t="str">
        <f t="shared" si="1"/>
        <v>VoidTower L-1</v>
      </c>
      <c r="D178" s="1" t="s">
        <v>245</v>
      </c>
      <c r="E178" s="2">
        <v>-1</v>
      </c>
      <c r="F178" s="18">
        <v>1</v>
      </c>
      <c r="G178" s="48">
        <v>15</v>
      </c>
      <c r="H178" s="48"/>
      <c r="I178" s="49">
        <v>15</v>
      </c>
      <c r="J178" s="24">
        <v>0.46875</v>
      </c>
      <c r="K178" s="22">
        <v>2.1333333333333333</v>
      </c>
      <c r="N178">
        <v>4</v>
      </c>
      <c r="O178">
        <v>3</v>
      </c>
      <c r="P178">
        <v>3</v>
      </c>
      <c r="Q178">
        <v>3</v>
      </c>
      <c r="R178">
        <v>3</v>
      </c>
      <c r="S178">
        <v>3</v>
      </c>
      <c r="T178">
        <v>3</v>
      </c>
      <c r="U178">
        <v>2</v>
      </c>
      <c r="V178">
        <v>2</v>
      </c>
      <c r="W178">
        <v>2</v>
      </c>
      <c r="X178">
        <v>2</v>
      </c>
      <c r="Y178">
        <v>2</v>
      </c>
      <c r="Z178">
        <v>2</v>
      </c>
      <c r="AA178">
        <v>2</v>
      </c>
      <c r="AB178">
        <v>2</v>
      </c>
      <c r="AC178">
        <v>2</v>
      </c>
      <c r="AD178">
        <v>2</v>
      </c>
      <c r="AE178">
        <v>2</v>
      </c>
      <c r="AF178">
        <v>2</v>
      </c>
      <c r="AG178">
        <v>2</v>
      </c>
    </row>
    <row r="179" spans="2:33" x14ac:dyDescent="0.2">
      <c r="B179" t="s">
        <v>154</v>
      </c>
      <c r="C179" t="str">
        <f t="shared" si="1"/>
        <v>VoidTower L0</v>
      </c>
      <c r="D179" s="1" t="s">
        <v>245</v>
      </c>
      <c r="E179" s="2">
        <v>0</v>
      </c>
      <c r="F179" s="18">
        <v>1</v>
      </c>
      <c r="G179" s="48">
        <v>28</v>
      </c>
      <c r="H179" s="48"/>
      <c r="I179" s="49">
        <v>28</v>
      </c>
      <c r="J179" s="24">
        <v>0.875</v>
      </c>
      <c r="K179" s="22">
        <v>1.1428571428571428</v>
      </c>
      <c r="N179">
        <v>7</v>
      </c>
      <c r="O179">
        <v>6</v>
      </c>
      <c r="P179">
        <v>6</v>
      </c>
      <c r="Q179">
        <v>5</v>
      </c>
      <c r="R179">
        <v>5</v>
      </c>
      <c r="S179">
        <v>4</v>
      </c>
      <c r="T179">
        <v>4</v>
      </c>
      <c r="U179">
        <v>4</v>
      </c>
      <c r="V179">
        <v>3</v>
      </c>
      <c r="W179">
        <v>3</v>
      </c>
      <c r="X179">
        <v>3</v>
      </c>
      <c r="Y179">
        <v>2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2</v>
      </c>
      <c r="AF179">
        <v>2</v>
      </c>
      <c r="AG179">
        <v>2</v>
      </c>
    </row>
    <row r="180" spans="2:33" x14ac:dyDescent="0.2">
      <c r="B180" t="s">
        <v>154</v>
      </c>
      <c r="C180" t="str">
        <f t="shared" si="1"/>
        <v>VoidTower L1</v>
      </c>
      <c r="D180" s="1" t="s">
        <v>245</v>
      </c>
      <c r="E180" s="2">
        <v>1</v>
      </c>
      <c r="F180" s="18">
        <v>1</v>
      </c>
      <c r="G180" s="50">
        <v>50</v>
      </c>
      <c r="H180" s="50"/>
      <c r="I180" s="49">
        <v>50</v>
      </c>
      <c r="J180" s="24">
        <v>1.5625</v>
      </c>
      <c r="K180" s="22">
        <v>0.64</v>
      </c>
      <c r="N180">
        <v>15</v>
      </c>
      <c r="O180">
        <v>13</v>
      </c>
      <c r="P180">
        <v>12</v>
      </c>
      <c r="Q180">
        <v>11</v>
      </c>
      <c r="R180">
        <v>10</v>
      </c>
      <c r="S180">
        <v>9</v>
      </c>
      <c r="T180">
        <v>8</v>
      </c>
      <c r="U180">
        <v>7</v>
      </c>
      <c r="V180">
        <v>6</v>
      </c>
      <c r="W180">
        <v>5</v>
      </c>
      <c r="X180">
        <v>4</v>
      </c>
      <c r="Y180">
        <v>4</v>
      </c>
      <c r="Z180">
        <v>3</v>
      </c>
      <c r="AA180">
        <v>3</v>
      </c>
      <c r="AB180">
        <v>2</v>
      </c>
      <c r="AC180">
        <v>2</v>
      </c>
      <c r="AD180">
        <v>2</v>
      </c>
      <c r="AE180">
        <v>2</v>
      </c>
      <c r="AF180">
        <v>2</v>
      </c>
      <c r="AG180">
        <v>2</v>
      </c>
    </row>
    <row r="181" spans="2:33" outlineLevel="1" x14ac:dyDescent="0.2">
      <c r="B181" t="s">
        <v>154</v>
      </c>
      <c r="C181" t="str">
        <f t="shared" si="1"/>
        <v>VoidTower L2</v>
      </c>
      <c r="D181" s="1" t="s">
        <v>245</v>
      </c>
      <c r="E181" s="2">
        <v>2</v>
      </c>
      <c r="F181" s="18">
        <v>1</v>
      </c>
      <c r="G181" s="48">
        <v>90</v>
      </c>
      <c r="H181" s="48"/>
      <c r="I181" s="49">
        <v>90</v>
      </c>
      <c r="J181" s="24">
        <v>2.8125</v>
      </c>
      <c r="K181" s="22">
        <v>0.35555555555555557</v>
      </c>
      <c r="N181">
        <v>23</v>
      </c>
      <c r="O181">
        <v>26</v>
      </c>
      <c r="P181">
        <v>24</v>
      </c>
      <c r="Q181">
        <v>21</v>
      </c>
      <c r="R181">
        <v>20</v>
      </c>
      <c r="S181">
        <v>17</v>
      </c>
      <c r="T181">
        <v>15</v>
      </c>
      <c r="U181">
        <v>12</v>
      </c>
      <c r="V181">
        <v>10</v>
      </c>
      <c r="W181">
        <v>9</v>
      </c>
      <c r="X181">
        <v>7</v>
      </c>
      <c r="Y181">
        <v>6</v>
      </c>
      <c r="Z181">
        <v>5</v>
      </c>
      <c r="AA181">
        <v>4</v>
      </c>
      <c r="AB181">
        <v>3</v>
      </c>
      <c r="AC181">
        <v>3</v>
      </c>
      <c r="AD181">
        <v>2</v>
      </c>
      <c r="AE181">
        <v>2</v>
      </c>
      <c r="AF181">
        <v>2</v>
      </c>
      <c r="AG181">
        <v>2</v>
      </c>
    </row>
    <row r="182" spans="2:33" outlineLevel="1" x14ac:dyDescent="0.2">
      <c r="B182" t="s">
        <v>154</v>
      </c>
      <c r="C182" t="str">
        <f t="shared" si="1"/>
        <v>VoidTower L3</v>
      </c>
      <c r="D182" s="1" t="s">
        <v>245</v>
      </c>
      <c r="E182" s="2">
        <v>3</v>
      </c>
      <c r="F182" s="18">
        <v>1</v>
      </c>
      <c r="G182" s="48">
        <v>162</v>
      </c>
      <c r="H182" s="48"/>
      <c r="I182" s="49">
        <v>162</v>
      </c>
      <c r="J182" s="24">
        <v>5.0625</v>
      </c>
      <c r="K182" s="22">
        <v>0.19753086419753085</v>
      </c>
      <c r="N182">
        <v>46</v>
      </c>
      <c r="O182">
        <v>42</v>
      </c>
      <c r="P182">
        <v>47</v>
      </c>
      <c r="Q182">
        <v>42</v>
      </c>
      <c r="R182">
        <v>38</v>
      </c>
      <c r="S182">
        <v>33</v>
      </c>
      <c r="T182">
        <v>29</v>
      </c>
      <c r="U182">
        <v>24</v>
      </c>
      <c r="V182">
        <v>20</v>
      </c>
      <c r="W182">
        <v>17</v>
      </c>
      <c r="X182">
        <v>13</v>
      </c>
      <c r="Y182">
        <v>10</v>
      </c>
      <c r="Z182">
        <v>8</v>
      </c>
      <c r="AA182">
        <v>6</v>
      </c>
      <c r="AB182">
        <v>5</v>
      </c>
      <c r="AC182">
        <v>4</v>
      </c>
      <c r="AD182">
        <v>3</v>
      </c>
      <c r="AE182">
        <v>3</v>
      </c>
      <c r="AF182">
        <v>2</v>
      </c>
      <c r="AG182">
        <v>2</v>
      </c>
    </row>
    <row r="183" spans="2:33" outlineLevel="1" x14ac:dyDescent="0.2">
      <c r="B183" t="s">
        <v>154</v>
      </c>
      <c r="C183" t="str">
        <f t="shared" si="1"/>
        <v>VoidTower L4</v>
      </c>
      <c r="D183" s="1" t="s">
        <v>245</v>
      </c>
      <c r="E183" s="2">
        <v>4</v>
      </c>
      <c r="F183" s="18">
        <v>1</v>
      </c>
      <c r="G183" s="48">
        <v>292</v>
      </c>
      <c r="H183" s="48"/>
      <c r="I183" s="49">
        <v>292</v>
      </c>
      <c r="J183" s="24">
        <v>9.125</v>
      </c>
      <c r="K183" s="22">
        <v>0.1095890410958904</v>
      </c>
      <c r="N183">
        <v>91</v>
      </c>
      <c r="O183">
        <v>83</v>
      </c>
      <c r="P183">
        <v>75</v>
      </c>
      <c r="Q183">
        <v>83</v>
      </c>
      <c r="R183">
        <v>75</v>
      </c>
      <c r="S183">
        <v>65</v>
      </c>
      <c r="T183">
        <v>56</v>
      </c>
      <c r="U183">
        <v>47</v>
      </c>
      <c r="V183">
        <v>39</v>
      </c>
      <c r="W183">
        <v>32</v>
      </c>
      <c r="X183">
        <v>25</v>
      </c>
      <c r="Y183">
        <v>20</v>
      </c>
      <c r="Z183">
        <v>16</v>
      </c>
      <c r="AA183">
        <v>11</v>
      </c>
      <c r="AB183">
        <v>9</v>
      </c>
      <c r="AC183">
        <v>6</v>
      </c>
      <c r="AD183">
        <v>5</v>
      </c>
      <c r="AE183">
        <v>4</v>
      </c>
      <c r="AF183">
        <v>3</v>
      </c>
      <c r="AG183">
        <v>3</v>
      </c>
    </row>
    <row r="184" spans="2:33" outlineLevel="1" x14ac:dyDescent="0.2">
      <c r="B184" t="s">
        <v>154</v>
      </c>
      <c r="C184" t="str">
        <f t="shared" si="1"/>
        <v>VoidTower L5</v>
      </c>
      <c r="D184" s="1" t="s">
        <v>245</v>
      </c>
      <c r="E184" s="2">
        <v>5</v>
      </c>
      <c r="F184" s="18">
        <v>1</v>
      </c>
      <c r="G184" s="48">
        <v>525</v>
      </c>
      <c r="H184" s="48"/>
      <c r="I184" s="49">
        <v>525</v>
      </c>
      <c r="J184" s="24">
        <v>16.40625</v>
      </c>
      <c r="K184" s="22">
        <v>6.0952380952380952E-2</v>
      </c>
      <c r="N184">
        <v>181</v>
      </c>
      <c r="O184">
        <v>165</v>
      </c>
      <c r="P184">
        <v>150</v>
      </c>
      <c r="Q184">
        <v>137</v>
      </c>
      <c r="R184">
        <v>149</v>
      </c>
      <c r="S184">
        <v>130</v>
      </c>
      <c r="T184">
        <v>111</v>
      </c>
      <c r="U184">
        <v>94</v>
      </c>
      <c r="V184">
        <v>77</v>
      </c>
      <c r="W184">
        <v>62</v>
      </c>
      <c r="X184">
        <v>49</v>
      </c>
      <c r="Y184">
        <v>38</v>
      </c>
      <c r="Z184">
        <v>30</v>
      </c>
      <c r="AA184">
        <v>22</v>
      </c>
      <c r="AB184">
        <v>17</v>
      </c>
      <c r="AC184">
        <v>12</v>
      </c>
      <c r="AD184">
        <v>8</v>
      </c>
      <c r="AE184">
        <v>6</v>
      </c>
      <c r="AF184">
        <v>5</v>
      </c>
      <c r="AG184">
        <v>4</v>
      </c>
    </row>
    <row r="185" spans="2:33" outlineLevel="1" x14ac:dyDescent="0.2">
      <c r="B185" t="s">
        <v>154</v>
      </c>
      <c r="C185" t="str">
        <f t="shared" si="1"/>
        <v>VoidTower L6</v>
      </c>
      <c r="D185" s="1" t="s">
        <v>245</v>
      </c>
      <c r="E185" s="2">
        <v>6</v>
      </c>
      <c r="F185" s="18">
        <v>1</v>
      </c>
      <c r="G185" s="48">
        <v>945</v>
      </c>
      <c r="H185" s="48"/>
      <c r="I185" s="49">
        <v>945</v>
      </c>
      <c r="J185" s="24">
        <v>29.53125</v>
      </c>
      <c r="K185" s="22">
        <v>3.3862433862433865E-2</v>
      </c>
      <c r="N185">
        <v>361</v>
      </c>
      <c r="O185">
        <v>329</v>
      </c>
      <c r="P185">
        <v>298</v>
      </c>
      <c r="Q185">
        <v>271</v>
      </c>
      <c r="R185">
        <v>246</v>
      </c>
      <c r="S185">
        <v>258</v>
      </c>
      <c r="T185">
        <v>221</v>
      </c>
      <c r="U185">
        <v>186</v>
      </c>
      <c r="V185">
        <v>152</v>
      </c>
      <c r="W185">
        <v>123</v>
      </c>
      <c r="X185">
        <v>97</v>
      </c>
      <c r="Y185">
        <v>75</v>
      </c>
      <c r="Z185">
        <v>57</v>
      </c>
      <c r="AA185">
        <v>43</v>
      </c>
      <c r="AB185">
        <v>31</v>
      </c>
      <c r="AC185">
        <v>22</v>
      </c>
      <c r="AD185">
        <v>16</v>
      </c>
      <c r="AE185">
        <v>11</v>
      </c>
      <c r="AF185">
        <v>7</v>
      </c>
      <c r="AG185">
        <v>5</v>
      </c>
    </row>
    <row r="186" spans="2:33" outlineLevel="1" x14ac:dyDescent="0.2">
      <c r="B186" t="s">
        <v>154</v>
      </c>
      <c r="C186" t="str">
        <f t="shared" si="1"/>
        <v>VoidTower L7</v>
      </c>
      <c r="D186" s="1" t="s">
        <v>245</v>
      </c>
      <c r="E186" s="2">
        <v>7</v>
      </c>
      <c r="F186" s="18">
        <v>1</v>
      </c>
      <c r="G186" s="48">
        <v>1701</v>
      </c>
      <c r="H186" s="48"/>
      <c r="I186" s="49">
        <v>1701</v>
      </c>
      <c r="J186" s="24">
        <v>53.15625</v>
      </c>
      <c r="K186" s="22">
        <v>1.8812463256907701E-2</v>
      </c>
      <c r="N186">
        <v>722</v>
      </c>
      <c r="O186">
        <v>657</v>
      </c>
      <c r="P186">
        <v>597</v>
      </c>
      <c r="Q186">
        <v>542</v>
      </c>
      <c r="R186">
        <v>493</v>
      </c>
      <c r="S186">
        <v>449</v>
      </c>
      <c r="T186">
        <v>442</v>
      </c>
      <c r="U186">
        <v>371</v>
      </c>
      <c r="V186">
        <v>305</v>
      </c>
      <c r="W186">
        <v>245</v>
      </c>
      <c r="X186">
        <v>193</v>
      </c>
      <c r="Y186">
        <v>150</v>
      </c>
      <c r="Z186">
        <v>114</v>
      </c>
      <c r="AA186">
        <v>85</v>
      </c>
      <c r="AB186">
        <v>62</v>
      </c>
      <c r="AC186">
        <v>44</v>
      </c>
      <c r="AD186">
        <v>31</v>
      </c>
      <c r="AE186">
        <v>21</v>
      </c>
      <c r="AF186">
        <v>15</v>
      </c>
      <c r="AG186">
        <v>10</v>
      </c>
    </row>
    <row r="187" spans="2:33" outlineLevel="1" x14ac:dyDescent="0.2">
      <c r="B187" t="s">
        <v>154</v>
      </c>
      <c r="C187" t="str">
        <f t="shared" si="1"/>
        <v>VoidTower L8</v>
      </c>
      <c r="D187" s="1" t="s">
        <v>245</v>
      </c>
      <c r="E187" s="2">
        <v>8</v>
      </c>
      <c r="F187" s="18">
        <v>1</v>
      </c>
      <c r="G187" s="48">
        <v>3061</v>
      </c>
      <c r="H187" s="48"/>
      <c r="I187" s="49">
        <v>3061</v>
      </c>
      <c r="J187" s="24">
        <v>95.65625</v>
      </c>
      <c r="K187" s="22">
        <v>1.0454099967330937E-2</v>
      </c>
      <c r="N187">
        <v>1443</v>
      </c>
      <c r="O187">
        <v>1312</v>
      </c>
      <c r="P187">
        <v>1193</v>
      </c>
      <c r="Q187">
        <v>1085</v>
      </c>
      <c r="R187">
        <v>986</v>
      </c>
      <c r="S187">
        <v>896</v>
      </c>
      <c r="T187">
        <v>815</v>
      </c>
      <c r="U187">
        <v>741</v>
      </c>
      <c r="V187">
        <v>609</v>
      </c>
      <c r="W187">
        <v>490</v>
      </c>
      <c r="X187">
        <v>387</v>
      </c>
      <c r="Y187">
        <v>299</v>
      </c>
      <c r="Z187">
        <v>227</v>
      </c>
      <c r="AA187">
        <v>168</v>
      </c>
      <c r="AB187">
        <v>123</v>
      </c>
      <c r="AC187">
        <v>88</v>
      </c>
      <c r="AD187">
        <v>61</v>
      </c>
      <c r="AE187">
        <v>43</v>
      </c>
      <c r="AF187">
        <v>29</v>
      </c>
      <c r="AG187">
        <v>19</v>
      </c>
    </row>
    <row r="188" spans="2:33" outlineLevel="1" x14ac:dyDescent="0.2">
      <c r="B188" t="s">
        <v>154</v>
      </c>
      <c r="C188" t="str">
        <f t="shared" si="1"/>
        <v>VoidTower L9</v>
      </c>
      <c r="D188" s="1" t="s">
        <v>245</v>
      </c>
      <c r="E188" s="2">
        <v>9</v>
      </c>
      <c r="F188" s="18">
        <v>1</v>
      </c>
      <c r="G188" s="48">
        <v>5510</v>
      </c>
      <c r="H188" s="48"/>
      <c r="I188" s="49">
        <v>5510</v>
      </c>
      <c r="J188" s="24">
        <v>172.1875</v>
      </c>
      <c r="K188" s="22">
        <v>5.8076225045372047E-3</v>
      </c>
      <c r="N188">
        <v>2609</v>
      </c>
      <c r="O188">
        <v>2372</v>
      </c>
      <c r="P188">
        <v>2156</v>
      </c>
      <c r="Q188">
        <v>1960</v>
      </c>
      <c r="R188">
        <v>1783</v>
      </c>
      <c r="S188">
        <v>1620</v>
      </c>
      <c r="T188">
        <v>1473</v>
      </c>
      <c r="U188">
        <v>1339</v>
      </c>
      <c r="V188">
        <v>1217</v>
      </c>
      <c r="W188">
        <v>981</v>
      </c>
      <c r="X188">
        <v>774</v>
      </c>
      <c r="Y188">
        <v>598</v>
      </c>
      <c r="Z188">
        <v>453</v>
      </c>
      <c r="AA188">
        <v>337</v>
      </c>
      <c r="AB188">
        <v>245</v>
      </c>
      <c r="AC188">
        <v>175</v>
      </c>
      <c r="AD188">
        <v>123</v>
      </c>
      <c r="AE188">
        <v>84</v>
      </c>
      <c r="AF188">
        <v>57</v>
      </c>
      <c r="AG188">
        <v>37</v>
      </c>
    </row>
    <row r="189" spans="2:33" outlineLevel="1" x14ac:dyDescent="0.2">
      <c r="B189" t="s">
        <v>154</v>
      </c>
      <c r="C189" t="str">
        <f t="shared" si="1"/>
        <v>VoidTower L10</v>
      </c>
      <c r="D189" s="1" t="s">
        <v>245</v>
      </c>
      <c r="E189" s="2">
        <v>10</v>
      </c>
      <c r="F189" s="18">
        <v>1</v>
      </c>
      <c r="G189" s="48">
        <v>9918</v>
      </c>
      <c r="H189" s="48"/>
      <c r="I189" s="49">
        <v>9918</v>
      </c>
      <c r="J189" s="24">
        <v>309.9375</v>
      </c>
      <c r="K189" s="22">
        <v>3.2264569469651139E-3</v>
      </c>
      <c r="N189">
        <v>4622</v>
      </c>
      <c r="O189">
        <v>4202</v>
      </c>
      <c r="P189">
        <v>3820</v>
      </c>
      <c r="Q189">
        <v>3473</v>
      </c>
      <c r="R189">
        <v>3157</v>
      </c>
      <c r="S189">
        <v>2870</v>
      </c>
      <c r="T189">
        <v>2609</v>
      </c>
      <c r="U189">
        <v>2372</v>
      </c>
      <c r="V189">
        <v>2156</v>
      </c>
      <c r="W189">
        <v>1960</v>
      </c>
      <c r="X189">
        <v>1547</v>
      </c>
      <c r="Y189">
        <v>1196</v>
      </c>
      <c r="Z189">
        <v>907</v>
      </c>
      <c r="AA189">
        <v>674</v>
      </c>
      <c r="AB189">
        <v>490</v>
      </c>
      <c r="AC189">
        <v>350</v>
      </c>
      <c r="AD189">
        <v>245</v>
      </c>
      <c r="AE189">
        <v>168</v>
      </c>
      <c r="AF189">
        <v>113</v>
      </c>
      <c r="AG189">
        <v>74</v>
      </c>
    </row>
    <row r="190" spans="2:33" outlineLevel="1" x14ac:dyDescent="0.2">
      <c r="B190" t="s">
        <v>154</v>
      </c>
      <c r="C190" t="str">
        <f t="shared" si="1"/>
        <v>VoidTower L11</v>
      </c>
      <c r="D190" s="1" t="s">
        <v>245</v>
      </c>
      <c r="E190" s="2">
        <v>11</v>
      </c>
      <c r="F190" s="18">
        <v>1</v>
      </c>
      <c r="G190" s="48">
        <v>17852</v>
      </c>
      <c r="H190" s="48"/>
      <c r="I190" s="49">
        <v>17852</v>
      </c>
      <c r="J190" s="24">
        <v>557.875</v>
      </c>
      <c r="K190" s="22">
        <v>1.7925162446784674E-3</v>
      </c>
      <c r="N190">
        <v>8025</v>
      </c>
      <c r="O190">
        <v>7295</v>
      </c>
      <c r="P190">
        <v>6632</v>
      </c>
      <c r="Q190">
        <v>6029</v>
      </c>
      <c r="R190">
        <v>5481</v>
      </c>
      <c r="S190">
        <v>4983</v>
      </c>
      <c r="T190">
        <v>4530</v>
      </c>
      <c r="U190">
        <v>4118</v>
      </c>
      <c r="V190">
        <v>3743</v>
      </c>
      <c r="W190">
        <v>3403</v>
      </c>
      <c r="X190">
        <v>3094</v>
      </c>
      <c r="Y190">
        <v>2392</v>
      </c>
      <c r="Z190">
        <v>1814</v>
      </c>
      <c r="AA190">
        <v>1347</v>
      </c>
      <c r="AB190">
        <v>981</v>
      </c>
      <c r="AC190">
        <v>699</v>
      </c>
      <c r="AD190">
        <v>489</v>
      </c>
      <c r="AE190">
        <v>335</v>
      </c>
      <c r="AF190">
        <v>225</v>
      </c>
      <c r="AG190">
        <v>149</v>
      </c>
    </row>
    <row r="191" spans="2:33" outlineLevel="1" x14ac:dyDescent="0.2">
      <c r="B191" t="s">
        <v>154</v>
      </c>
      <c r="C191" t="str">
        <f t="shared" si="1"/>
        <v>VoidTower L12</v>
      </c>
      <c r="D191" s="1" t="s">
        <v>245</v>
      </c>
      <c r="E191" s="2">
        <v>12</v>
      </c>
      <c r="F191" s="18">
        <v>1</v>
      </c>
      <c r="G191" s="48">
        <v>32134</v>
      </c>
      <c r="H191" s="48"/>
      <c r="I191" s="49">
        <v>32134</v>
      </c>
      <c r="J191" s="24">
        <v>1004.1875</v>
      </c>
      <c r="K191" s="22">
        <v>9.958299620339828E-4</v>
      </c>
      <c r="N191">
        <v>13652</v>
      </c>
      <c r="O191">
        <v>12411</v>
      </c>
      <c r="P191">
        <v>11282</v>
      </c>
      <c r="Q191">
        <v>10256</v>
      </c>
      <c r="R191">
        <v>9325</v>
      </c>
      <c r="S191">
        <v>8476</v>
      </c>
      <c r="T191">
        <v>7706</v>
      </c>
      <c r="U191">
        <v>7005</v>
      </c>
      <c r="V191">
        <v>6369</v>
      </c>
      <c r="W191">
        <v>5790</v>
      </c>
      <c r="X191">
        <v>5263</v>
      </c>
      <c r="Y191">
        <v>4786</v>
      </c>
      <c r="Z191">
        <v>3626</v>
      </c>
      <c r="AA191">
        <v>2694</v>
      </c>
      <c r="AB191">
        <v>1961</v>
      </c>
      <c r="AC191">
        <v>1399</v>
      </c>
      <c r="AD191">
        <v>978</v>
      </c>
      <c r="AE191">
        <v>670</v>
      </c>
      <c r="AF191">
        <v>450</v>
      </c>
      <c r="AG191">
        <v>296</v>
      </c>
    </row>
    <row r="192" spans="2:33" outlineLevel="1" x14ac:dyDescent="0.2">
      <c r="B192" t="s">
        <v>154</v>
      </c>
      <c r="C192" t="str">
        <f t="shared" si="1"/>
        <v>VoidTower L13</v>
      </c>
      <c r="D192" s="1" t="s">
        <v>245</v>
      </c>
      <c r="E192" s="2">
        <v>13</v>
      </c>
      <c r="F192" s="18">
        <v>1</v>
      </c>
      <c r="G192" s="48">
        <v>57842</v>
      </c>
      <c r="H192" s="48"/>
      <c r="I192" s="49">
        <v>57842</v>
      </c>
      <c r="J192" s="24">
        <v>1807.5625</v>
      </c>
      <c r="K192" s="22">
        <v>5.532312160713668E-4</v>
      </c>
      <c r="N192">
        <v>22761</v>
      </c>
      <c r="O192">
        <v>20692</v>
      </c>
      <c r="P192">
        <v>18811</v>
      </c>
      <c r="Q192">
        <v>17101</v>
      </c>
      <c r="R192">
        <v>15546</v>
      </c>
      <c r="S192">
        <v>14134</v>
      </c>
      <c r="T192">
        <v>12849</v>
      </c>
      <c r="U192">
        <v>11681</v>
      </c>
      <c r="V192">
        <v>10618</v>
      </c>
      <c r="W192">
        <v>9653</v>
      </c>
      <c r="X192">
        <v>8775</v>
      </c>
      <c r="Y192">
        <v>7978</v>
      </c>
      <c r="Z192">
        <v>7252</v>
      </c>
      <c r="AA192">
        <v>5387</v>
      </c>
      <c r="AB192">
        <v>3921</v>
      </c>
      <c r="AC192">
        <v>2797</v>
      </c>
      <c r="AD192">
        <v>1956</v>
      </c>
      <c r="AE192">
        <v>1339</v>
      </c>
      <c r="AF192">
        <v>900</v>
      </c>
      <c r="AG192">
        <v>592</v>
      </c>
    </row>
    <row r="193" spans="2:33" outlineLevel="1" x14ac:dyDescent="0.2">
      <c r="B193" t="s">
        <v>154</v>
      </c>
      <c r="C193" t="str">
        <f t="shared" si="1"/>
        <v>VoidTower L14</v>
      </c>
      <c r="D193" s="1" t="s">
        <v>245</v>
      </c>
      <c r="E193" s="2">
        <v>14</v>
      </c>
      <c r="F193" s="18">
        <v>1</v>
      </c>
      <c r="G193" s="48">
        <v>104115</v>
      </c>
      <c r="H193" s="48"/>
      <c r="I193" s="49">
        <v>104115</v>
      </c>
      <c r="J193" s="24">
        <v>3253.59375</v>
      </c>
      <c r="K193" s="22">
        <v>3.0735244681361957E-4</v>
      </c>
      <c r="N193">
        <v>37191</v>
      </c>
      <c r="O193">
        <v>33810</v>
      </c>
      <c r="P193">
        <v>30737</v>
      </c>
      <c r="Q193">
        <v>27943</v>
      </c>
      <c r="R193">
        <v>25402</v>
      </c>
      <c r="S193">
        <v>23093</v>
      </c>
      <c r="T193">
        <v>20993</v>
      </c>
      <c r="U193">
        <v>19086</v>
      </c>
      <c r="V193">
        <v>17350</v>
      </c>
      <c r="W193">
        <v>15773</v>
      </c>
      <c r="X193">
        <v>14339</v>
      </c>
      <c r="Y193">
        <v>13035</v>
      </c>
      <c r="Z193">
        <v>11851</v>
      </c>
      <c r="AA193">
        <v>10773</v>
      </c>
      <c r="AB193">
        <v>7842</v>
      </c>
      <c r="AC193">
        <v>5594</v>
      </c>
      <c r="AD193">
        <v>3910</v>
      </c>
      <c r="AE193">
        <v>2678</v>
      </c>
      <c r="AF193">
        <v>1799</v>
      </c>
      <c r="AG193">
        <v>1183</v>
      </c>
    </row>
    <row r="194" spans="2:33" outlineLevel="1" x14ac:dyDescent="0.2">
      <c r="B194" t="s">
        <v>154</v>
      </c>
      <c r="C194" t="str">
        <f t="shared" si="1"/>
        <v>VoidTower L15</v>
      </c>
      <c r="D194" s="1" t="s">
        <v>245</v>
      </c>
      <c r="E194" s="2">
        <v>15</v>
      </c>
      <c r="F194" s="18">
        <v>1</v>
      </c>
      <c r="G194" s="48">
        <v>187407</v>
      </c>
      <c r="H194" s="48"/>
      <c r="I194" s="49">
        <v>187407</v>
      </c>
      <c r="J194" s="24">
        <v>5856.46875</v>
      </c>
      <c r="K194" s="22">
        <v>1.7075135934089975E-4</v>
      </c>
      <c r="N194">
        <v>59555</v>
      </c>
      <c r="O194">
        <v>54140</v>
      </c>
      <c r="P194">
        <v>49218</v>
      </c>
      <c r="Q194">
        <v>44744</v>
      </c>
      <c r="R194">
        <v>40676</v>
      </c>
      <c r="S194">
        <v>36979</v>
      </c>
      <c r="T194">
        <v>33617</v>
      </c>
      <c r="U194">
        <v>30561</v>
      </c>
      <c r="V194">
        <v>27783</v>
      </c>
      <c r="W194">
        <v>25257</v>
      </c>
      <c r="X194">
        <v>22961</v>
      </c>
      <c r="Y194">
        <v>20874</v>
      </c>
      <c r="Z194">
        <v>18976</v>
      </c>
      <c r="AA194">
        <v>17251</v>
      </c>
      <c r="AB194">
        <v>15683</v>
      </c>
      <c r="AC194">
        <v>11187</v>
      </c>
      <c r="AD194">
        <v>7820</v>
      </c>
      <c r="AE194">
        <v>5358</v>
      </c>
      <c r="AF194">
        <v>3597</v>
      </c>
      <c r="AG194">
        <v>2366</v>
      </c>
    </row>
    <row r="195" spans="2:33" outlineLevel="1" x14ac:dyDescent="0.2">
      <c r="B195" t="s">
        <v>154</v>
      </c>
      <c r="C195" t="str">
        <f t="shared" si="1"/>
        <v>VoidTower L16</v>
      </c>
      <c r="D195" s="1" t="s">
        <v>245</v>
      </c>
      <c r="E195" s="2">
        <v>16</v>
      </c>
      <c r="F195" s="18">
        <v>1</v>
      </c>
      <c r="G195" s="48">
        <v>337332</v>
      </c>
      <c r="H195" s="48"/>
      <c r="I195" s="49">
        <v>337332</v>
      </c>
      <c r="J195" s="24">
        <v>10541.625</v>
      </c>
      <c r="K195" s="22">
        <v>9.4862035027806435E-5</v>
      </c>
      <c r="N195">
        <v>93456</v>
      </c>
      <c r="O195">
        <v>84961</v>
      </c>
      <c r="P195">
        <v>77237</v>
      </c>
      <c r="Q195">
        <v>70216</v>
      </c>
      <c r="R195">
        <v>63832</v>
      </c>
      <c r="S195">
        <v>58029</v>
      </c>
      <c r="T195">
        <v>52753</v>
      </c>
      <c r="U195">
        <v>47959</v>
      </c>
      <c r="V195">
        <v>43598</v>
      </c>
      <c r="W195">
        <v>39635</v>
      </c>
      <c r="X195">
        <v>36032</v>
      </c>
      <c r="Y195">
        <v>32756</v>
      </c>
      <c r="Z195">
        <v>29778</v>
      </c>
      <c r="AA195">
        <v>27071</v>
      </c>
      <c r="AB195">
        <v>24611</v>
      </c>
      <c r="AC195">
        <v>22373</v>
      </c>
      <c r="AD195">
        <v>15639</v>
      </c>
      <c r="AE195">
        <v>10715</v>
      </c>
      <c r="AF195">
        <v>7194</v>
      </c>
      <c r="AG195">
        <v>4732</v>
      </c>
    </row>
    <row r="196" spans="2:33" outlineLevel="1" x14ac:dyDescent="0.2">
      <c r="B196" t="s">
        <v>154</v>
      </c>
      <c r="C196" t="str">
        <f t="shared" si="1"/>
        <v>VoidTower L17</v>
      </c>
      <c r="D196" s="1" t="s">
        <v>245</v>
      </c>
      <c r="E196" s="2">
        <v>17</v>
      </c>
      <c r="F196" s="18">
        <v>1</v>
      </c>
      <c r="G196" s="48">
        <v>607198</v>
      </c>
      <c r="H196" s="48"/>
      <c r="I196" s="49">
        <v>607198</v>
      </c>
      <c r="J196" s="24">
        <v>18974.9375</v>
      </c>
      <c r="K196" s="22">
        <v>5.27010958534119E-5</v>
      </c>
      <c r="N196">
        <v>143725</v>
      </c>
      <c r="O196">
        <v>130659</v>
      </c>
      <c r="P196">
        <v>118780</v>
      </c>
      <c r="Q196">
        <v>107983</v>
      </c>
      <c r="R196">
        <v>98166</v>
      </c>
      <c r="S196">
        <v>89242</v>
      </c>
      <c r="T196">
        <v>81129</v>
      </c>
      <c r="U196">
        <v>73754</v>
      </c>
      <c r="V196">
        <v>67049</v>
      </c>
      <c r="W196">
        <v>60953</v>
      </c>
      <c r="X196">
        <v>55412</v>
      </c>
      <c r="Y196">
        <v>50375</v>
      </c>
      <c r="Z196">
        <v>45795</v>
      </c>
      <c r="AA196">
        <v>41632</v>
      </c>
      <c r="AB196">
        <v>37848</v>
      </c>
      <c r="AC196">
        <v>34407</v>
      </c>
      <c r="AD196">
        <v>31280</v>
      </c>
      <c r="AE196">
        <v>21428</v>
      </c>
      <c r="AF196">
        <v>14386</v>
      </c>
      <c r="AG196">
        <v>9466</v>
      </c>
    </row>
    <row r="197" spans="2:33" outlineLevel="1" x14ac:dyDescent="0.2">
      <c r="B197" t="s">
        <v>154</v>
      </c>
      <c r="C197" t="str">
        <f t="shared" si="1"/>
        <v>VoidTower L18</v>
      </c>
      <c r="D197" s="1" t="s">
        <v>245</v>
      </c>
      <c r="E197" s="2">
        <v>18</v>
      </c>
      <c r="F197" s="18">
        <v>1</v>
      </c>
      <c r="G197" s="48">
        <v>1092956</v>
      </c>
      <c r="H197" s="48"/>
      <c r="I197" s="49">
        <v>1092956</v>
      </c>
      <c r="J197" s="24">
        <v>34154.875</v>
      </c>
      <c r="K197" s="22">
        <v>2.9278397300531768E-5</v>
      </c>
      <c r="N197">
        <v>216611</v>
      </c>
      <c r="O197">
        <v>196919</v>
      </c>
      <c r="P197">
        <v>179018</v>
      </c>
      <c r="Q197">
        <v>162743</v>
      </c>
      <c r="R197">
        <v>147948</v>
      </c>
      <c r="S197">
        <v>134498</v>
      </c>
      <c r="T197">
        <v>122272</v>
      </c>
      <c r="U197">
        <v>111156</v>
      </c>
      <c r="V197">
        <v>101051</v>
      </c>
      <c r="W197">
        <v>91865</v>
      </c>
      <c r="X197">
        <v>83514</v>
      </c>
      <c r="Y197">
        <v>75922</v>
      </c>
      <c r="Z197">
        <v>69020</v>
      </c>
      <c r="AA197">
        <v>62745</v>
      </c>
      <c r="AB197">
        <v>57041</v>
      </c>
      <c r="AC197">
        <v>51855</v>
      </c>
      <c r="AD197">
        <v>47142</v>
      </c>
      <c r="AE197">
        <v>42856</v>
      </c>
      <c r="AF197">
        <v>28772</v>
      </c>
      <c r="AG197">
        <v>18930</v>
      </c>
    </row>
    <row r="198" spans="2:33" outlineLevel="1" x14ac:dyDescent="0.2">
      <c r="B198" t="s">
        <v>154</v>
      </c>
      <c r="C198" t="str">
        <f t="shared" si="1"/>
        <v>VoidTower L19</v>
      </c>
      <c r="D198" s="1" t="s">
        <v>245</v>
      </c>
      <c r="E198" s="2">
        <v>19</v>
      </c>
      <c r="F198" s="18">
        <v>1</v>
      </c>
      <c r="G198" s="48">
        <v>1967320</v>
      </c>
      <c r="H198" s="48"/>
      <c r="I198" s="49">
        <v>1967320</v>
      </c>
      <c r="J198" s="24">
        <v>61478.75</v>
      </c>
      <c r="K198" s="22">
        <v>1.6265782892462841E-5</v>
      </c>
      <c r="N198">
        <v>319932</v>
      </c>
      <c r="O198">
        <v>290846</v>
      </c>
      <c r="P198">
        <v>264406</v>
      </c>
      <c r="Q198">
        <v>240369</v>
      </c>
      <c r="R198">
        <v>218517</v>
      </c>
      <c r="S198">
        <v>198652</v>
      </c>
      <c r="T198">
        <v>180593</v>
      </c>
      <c r="U198">
        <v>164175</v>
      </c>
      <c r="V198">
        <v>149250</v>
      </c>
      <c r="W198">
        <v>135683</v>
      </c>
      <c r="X198">
        <v>123348</v>
      </c>
      <c r="Y198">
        <v>112134</v>
      </c>
      <c r="Z198">
        <v>101940</v>
      </c>
      <c r="AA198">
        <v>92673</v>
      </c>
      <c r="AB198">
        <v>84248</v>
      </c>
      <c r="AC198">
        <v>76589</v>
      </c>
      <c r="AD198">
        <v>69626</v>
      </c>
      <c r="AE198">
        <v>63297</v>
      </c>
      <c r="AF198">
        <v>57543</v>
      </c>
      <c r="AG198">
        <v>37860</v>
      </c>
    </row>
    <row r="199" spans="2:33" outlineLevel="1" x14ac:dyDescent="0.2">
      <c r="B199" t="s">
        <v>154</v>
      </c>
      <c r="C199" t="str">
        <f t="shared" si="1"/>
        <v>VoidTower L20</v>
      </c>
      <c r="D199" s="1" t="s">
        <v>245</v>
      </c>
      <c r="E199" s="2">
        <v>20</v>
      </c>
      <c r="F199" s="18">
        <v>1</v>
      </c>
      <c r="G199" s="48">
        <v>3541177</v>
      </c>
      <c r="H199" s="48"/>
      <c r="I199" s="49">
        <v>3541177</v>
      </c>
      <c r="J199" s="24">
        <v>110661.78125</v>
      </c>
      <c r="K199" s="22">
        <v>9.0365434995200741E-6</v>
      </c>
      <c r="N199">
        <v>463082</v>
      </c>
      <c r="O199">
        <v>420984</v>
      </c>
      <c r="P199">
        <v>382713</v>
      </c>
      <c r="Q199">
        <v>347921</v>
      </c>
      <c r="R199">
        <v>316292</v>
      </c>
      <c r="S199">
        <v>287538</v>
      </c>
      <c r="T199">
        <v>261398</v>
      </c>
      <c r="U199">
        <v>237635</v>
      </c>
      <c r="V199">
        <v>216031</v>
      </c>
      <c r="W199">
        <v>196393</v>
      </c>
      <c r="X199">
        <v>178539</v>
      </c>
      <c r="Y199">
        <v>162308</v>
      </c>
      <c r="Z199">
        <v>147553</v>
      </c>
      <c r="AA199">
        <v>134139</v>
      </c>
      <c r="AB199">
        <v>121945</v>
      </c>
      <c r="AC199">
        <v>110859</v>
      </c>
      <c r="AD199">
        <v>100781</v>
      </c>
      <c r="AE199">
        <v>91619</v>
      </c>
      <c r="AF199">
        <v>83290</v>
      </c>
      <c r="AG199">
        <v>75718</v>
      </c>
    </row>
    <row r="200" spans="2:33" s="27" customFormat="1" x14ac:dyDescent="0.2">
      <c r="B200" s="27" t="s">
        <v>154</v>
      </c>
      <c r="C200" s="27" t="str">
        <f t="shared" si="1"/>
        <v>SkyshotTower L-1</v>
      </c>
      <c r="D200" s="29" t="s">
        <v>246</v>
      </c>
      <c r="E200" s="30">
        <v>-1</v>
      </c>
      <c r="F200" s="31">
        <v>1</v>
      </c>
      <c r="G200" s="46">
        <v>12</v>
      </c>
      <c r="H200" s="46"/>
      <c r="I200" s="47">
        <v>12</v>
      </c>
      <c r="J200" s="33">
        <v>0.375</v>
      </c>
      <c r="K200" s="34">
        <v>2.6666666666666665</v>
      </c>
      <c r="L200" s="35"/>
      <c r="N200" s="27">
        <v>4</v>
      </c>
      <c r="O200" s="27">
        <v>3</v>
      </c>
      <c r="P200" s="27">
        <v>3</v>
      </c>
      <c r="Q200" s="27">
        <v>3</v>
      </c>
      <c r="R200" s="27">
        <v>3</v>
      </c>
      <c r="S200" s="27">
        <v>3</v>
      </c>
      <c r="T200" s="27">
        <v>3</v>
      </c>
      <c r="U200" s="27">
        <v>2</v>
      </c>
      <c r="V200" s="27">
        <v>2</v>
      </c>
      <c r="W200" s="27">
        <v>2</v>
      </c>
      <c r="X200" s="27">
        <v>2</v>
      </c>
      <c r="Y200" s="27">
        <v>2</v>
      </c>
      <c r="Z200" s="27">
        <v>2</v>
      </c>
      <c r="AA200" s="27">
        <v>2</v>
      </c>
      <c r="AB200" s="27">
        <v>2</v>
      </c>
      <c r="AC200" s="27">
        <v>2</v>
      </c>
      <c r="AD200" s="27">
        <v>2</v>
      </c>
      <c r="AE200" s="27">
        <v>2</v>
      </c>
      <c r="AF200" s="27">
        <v>2</v>
      </c>
      <c r="AG200" s="27">
        <v>2</v>
      </c>
    </row>
    <row r="201" spans="2:33" x14ac:dyDescent="0.2">
      <c r="B201" t="s">
        <v>154</v>
      </c>
      <c r="C201" t="str">
        <f t="shared" si="1"/>
        <v>SkyshotTower L0</v>
      </c>
      <c r="D201" s="1" t="s">
        <v>246</v>
      </c>
      <c r="E201" s="2">
        <v>0</v>
      </c>
      <c r="F201" s="18">
        <v>1</v>
      </c>
      <c r="G201" s="48">
        <v>22</v>
      </c>
      <c r="H201" s="48"/>
      <c r="I201" s="49">
        <v>22</v>
      </c>
      <c r="J201" s="24">
        <v>0.6875</v>
      </c>
      <c r="K201" s="22">
        <v>1.4545454545454546</v>
      </c>
      <c r="N201">
        <v>7</v>
      </c>
      <c r="O201">
        <v>6</v>
      </c>
      <c r="P201">
        <v>6</v>
      </c>
      <c r="Q201">
        <v>5</v>
      </c>
      <c r="R201">
        <v>5</v>
      </c>
      <c r="S201">
        <v>4</v>
      </c>
      <c r="T201">
        <v>4</v>
      </c>
      <c r="U201">
        <v>4</v>
      </c>
      <c r="V201">
        <v>3</v>
      </c>
      <c r="W201">
        <v>3</v>
      </c>
      <c r="X201">
        <v>3</v>
      </c>
      <c r="Y201">
        <v>2</v>
      </c>
      <c r="Z201">
        <v>2</v>
      </c>
      <c r="AA201">
        <v>2</v>
      </c>
      <c r="AB201">
        <v>2</v>
      </c>
      <c r="AC201">
        <v>2</v>
      </c>
      <c r="AD201">
        <v>2</v>
      </c>
      <c r="AE201">
        <v>2</v>
      </c>
      <c r="AF201">
        <v>2</v>
      </c>
      <c r="AG201">
        <v>2</v>
      </c>
    </row>
    <row r="202" spans="2:33" x14ac:dyDescent="0.2">
      <c r="B202" t="s">
        <v>154</v>
      </c>
      <c r="C202" t="str">
        <f t="shared" si="1"/>
        <v>SkyshotTower L1</v>
      </c>
      <c r="D202" s="1" t="s">
        <v>246</v>
      </c>
      <c r="E202" s="2">
        <v>1</v>
      </c>
      <c r="F202" s="18">
        <v>1</v>
      </c>
      <c r="G202" s="18">
        <v>40</v>
      </c>
      <c r="H202" s="18"/>
      <c r="I202" s="49">
        <v>40</v>
      </c>
      <c r="J202" s="24">
        <v>1.25</v>
      </c>
      <c r="K202" s="22">
        <v>0.8</v>
      </c>
      <c r="N202">
        <v>15</v>
      </c>
      <c r="O202">
        <v>13</v>
      </c>
      <c r="P202">
        <v>12</v>
      </c>
      <c r="Q202">
        <v>11</v>
      </c>
      <c r="R202">
        <v>10</v>
      </c>
      <c r="S202">
        <v>9</v>
      </c>
      <c r="T202">
        <v>8</v>
      </c>
      <c r="U202">
        <v>7</v>
      </c>
      <c r="V202">
        <v>6</v>
      </c>
      <c r="W202">
        <v>5</v>
      </c>
      <c r="X202">
        <v>4</v>
      </c>
      <c r="Y202">
        <v>4</v>
      </c>
      <c r="Z202">
        <v>3</v>
      </c>
      <c r="AA202">
        <v>3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</row>
    <row r="203" spans="2:33" outlineLevel="1" x14ac:dyDescent="0.2">
      <c r="B203" t="s">
        <v>154</v>
      </c>
      <c r="C203" t="str">
        <f t="shared" si="1"/>
        <v>SkyshotTower L2</v>
      </c>
      <c r="D203" s="1" t="s">
        <v>246</v>
      </c>
      <c r="E203" s="2">
        <v>2</v>
      </c>
      <c r="F203" s="18">
        <v>1</v>
      </c>
      <c r="G203" s="48">
        <v>72</v>
      </c>
      <c r="H203" s="48"/>
      <c r="I203" s="49">
        <v>72</v>
      </c>
      <c r="J203" s="24">
        <v>2.25</v>
      </c>
      <c r="K203" s="22">
        <v>0.44444444444444442</v>
      </c>
      <c r="N203">
        <v>23</v>
      </c>
      <c r="O203">
        <v>26</v>
      </c>
      <c r="P203">
        <v>24</v>
      </c>
      <c r="Q203">
        <v>21</v>
      </c>
      <c r="R203">
        <v>20</v>
      </c>
      <c r="S203">
        <v>17</v>
      </c>
      <c r="T203">
        <v>15</v>
      </c>
      <c r="U203">
        <v>12</v>
      </c>
      <c r="V203">
        <v>10</v>
      </c>
      <c r="W203">
        <v>9</v>
      </c>
      <c r="X203">
        <v>7</v>
      </c>
      <c r="Y203">
        <v>6</v>
      </c>
      <c r="Z203">
        <v>5</v>
      </c>
      <c r="AA203">
        <v>4</v>
      </c>
      <c r="AB203">
        <v>3</v>
      </c>
      <c r="AC203">
        <v>3</v>
      </c>
      <c r="AD203">
        <v>2</v>
      </c>
      <c r="AE203">
        <v>2</v>
      </c>
      <c r="AF203">
        <v>2</v>
      </c>
      <c r="AG203">
        <v>2</v>
      </c>
    </row>
    <row r="204" spans="2:33" outlineLevel="1" x14ac:dyDescent="0.2">
      <c r="B204" t="s">
        <v>154</v>
      </c>
      <c r="C204" t="str">
        <f t="shared" si="1"/>
        <v>SkyshotTower L3</v>
      </c>
      <c r="D204" s="1" t="s">
        <v>246</v>
      </c>
      <c r="E204" s="2">
        <v>3</v>
      </c>
      <c r="F204" s="18">
        <v>1</v>
      </c>
      <c r="G204" s="48">
        <v>130</v>
      </c>
      <c r="H204" s="48"/>
      <c r="I204" s="49">
        <v>130</v>
      </c>
      <c r="J204" s="24">
        <v>4.0625</v>
      </c>
      <c r="K204" s="22">
        <v>0.24615384615384617</v>
      </c>
      <c r="N204">
        <v>46</v>
      </c>
      <c r="O204">
        <v>42</v>
      </c>
      <c r="P204">
        <v>47</v>
      </c>
      <c r="Q204">
        <v>42</v>
      </c>
      <c r="R204">
        <v>38</v>
      </c>
      <c r="S204">
        <v>33</v>
      </c>
      <c r="T204">
        <v>29</v>
      </c>
      <c r="U204">
        <v>24</v>
      </c>
      <c r="V204">
        <v>20</v>
      </c>
      <c r="W204">
        <v>17</v>
      </c>
      <c r="X204">
        <v>13</v>
      </c>
      <c r="Y204">
        <v>10</v>
      </c>
      <c r="Z204">
        <v>8</v>
      </c>
      <c r="AA204">
        <v>6</v>
      </c>
      <c r="AB204">
        <v>5</v>
      </c>
      <c r="AC204">
        <v>4</v>
      </c>
      <c r="AD204">
        <v>3</v>
      </c>
      <c r="AE204">
        <v>3</v>
      </c>
      <c r="AF204">
        <v>2</v>
      </c>
      <c r="AG204">
        <v>2</v>
      </c>
    </row>
    <row r="205" spans="2:33" outlineLevel="1" x14ac:dyDescent="0.2">
      <c r="B205" t="s">
        <v>154</v>
      </c>
      <c r="C205" t="str">
        <f t="shared" si="1"/>
        <v>SkyshotTower L4</v>
      </c>
      <c r="D205" s="1" t="s">
        <v>246</v>
      </c>
      <c r="E205" s="2">
        <v>4</v>
      </c>
      <c r="F205" s="18">
        <v>1</v>
      </c>
      <c r="G205" s="48">
        <v>233</v>
      </c>
      <c r="H205" s="48"/>
      <c r="I205" s="49">
        <v>233</v>
      </c>
      <c r="J205" s="24">
        <v>7.28125</v>
      </c>
      <c r="K205" s="22">
        <v>0.13733905579399142</v>
      </c>
      <c r="N205">
        <v>91</v>
      </c>
      <c r="O205">
        <v>83</v>
      </c>
      <c r="P205">
        <v>75</v>
      </c>
      <c r="Q205">
        <v>83</v>
      </c>
      <c r="R205">
        <v>75</v>
      </c>
      <c r="S205">
        <v>65</v>
      </c>
      <c r="T205">
        <v>56</v>
      </c>
      <c r="U205">
        <v>47</v>
      </c>
      <c r="V205">
        <v>39</v>
      </c>
      <c r="W205">
        <v>32</v>
      </c>
      <c r="X205">
        <v>25</v>
      </c>
      <c r="Y205">
        <v>20</v>
      </c>
      <c r="Z205">
        <v>16</v>
      </c>
      <c r="AA205">
        <v>11</v>
      </c>
      <c r="AB205">
        <v>9</v>
      </c>
      <c r="AC205">
        <v>6</v>
      </c>
      <c r="AD205">
        <v>5</v>
      </c>
      <c r="AE205">
        <v>4</v>
      </c>
      <c r="AF205">
        <v>3</v>
      </c>
      <c r="AG205">
        <v>3</v>
      </c>
    </row>
    <row r="206" spans="2:33" outlineLevel="1" x14ac:dyDescent="0.2">
      <c r="B206" t="s">
        <v>154</v>
      </c>
      <c r="C206" t="str">
        <f t="shared" si="1"/>
        <v>SkyshotTower L5</v>
      </c>
      <c r="D206" s="1" t="s">
        <v>246</v>
      </c>
      <c r="E206" s="2">
        <v>5</v>
      </c>
      <c r="F206" s="18">
        <v>1</v>
      </c>
      <c r="G206" s="48">
        <v>420</v>
      </c>
      <c r="H206" s="48"/>
      <c r="I206" s="49">
        <v>420</v>
      </c>
      <c r="J206" s="24">
        <v>13.125</v>
      </c>
      <c r="K206" s="22">
        <v>7.6190476190476197E-2</v>
      </c>
      <c r="N206">
        <v>181</v>
      </c>
      <c r="O206">
        <v>165</v>
      </c>
      <c r="P206">
        <v>150</v>
      </c>
      <c r="Q206">
        <v>137</v>
      </c>
      <c r="R206">
        <v>149</v>
      </c>
      <c r="S206">
        <v>130</v>
      </c>
      <c r="T206">
        <v>111</v>
      </c>
      <c r="U206">
        <v>94</v>
      </c>
      <c r="V206">
        <v>77</v>
      </c>
      <c r="W206">
        <v>62</v>
      </c>
      <c r="X206">
        <v>49</v>
      </c>
      <c r="Y206">
        <v>38</v>
      </c>
      <c r="Z206">
        <v>30</v>
      </c>
      <c r="AA206">
        <v>22</v>
      </c>
      <c r="AB206">
        <v>17</v>
      </c>
      <c r="AC206">
        <v>12</v>
      </c>
      <c r="AD206">
        <v>8</v>
      </c>
      <c r="AE206">
        <v>6</v>
      </c>
      <c r="AF206">
        <v>5</v>
      </c>
      <c r="AG206">
        <v>4</v>
      </c>
    </row>
    <row r="207" spans="2:33" outlineLevel="1" x14ac:dyDescent="0.2">
      <c r="B207" t="s">
        <v>154</v>
      </c>
      <c r="C207" t="str">
        <f t="shared" si="1"/>
        <v>SkyshotTower L6</v>
      </c>
      <c r="D207" s="1" t="s">
        <v>246</v>
      </c>
      <c r="E207" s="2">
        <v>6</v>
      </c>
      <c r="F207" s="18">
        <v>1</v>
      </c>
      <c r="G207" s="48">
        <v>756</v>
      </c>
      <c r="H207" s="48"/>
      <c r="I207" s="49">
        <v>756</v>
      </c>
      <c r="J207" s="24">
        <v>23.625</v>
      </c>
      <c r="K207" s="22">
        <v>4.2328042328042326E-2</v>
      </c>
      <c r="N207">
        <v>361</v>
      </c>
      <c r="O207">
        <v>329</v>
      </c>
      <c r="P207">
        <v>298</v>
      </c>
      <c r="Q207">
        <v>271</v>
      </c>
      <c r="R207">
        <v>246</v>
      </c>
      <c r="S207">
        <v>258</v>
      </c>
      <c r="T207">
        <v>221</v>
      </c>
      <c r="U207">
        <v>186</v>
      </c>
      <c r="V207">
        <v>152</v>
      </c>
      <c r="W207">
        <v>123</v>
      </c>
      <c r="X207">
        <v>97</v>
      </c>
      <c r="Y207">
        <v>75</v>
      </c>
      <c r="Z207">
        <v>57</v>
      </c>
      <c r="AA207">
        <v>43</v>
      </c>
      <c r="AB207">
        <v>31</v>
      </c>
      <c r="AC207">
        <v>22</v>
      </c>
      <c r="AD207">
        <v>16</v>
      </c>
      <c r="AE207">
        <v>11</v>
      </c>
      <c r="AF207">
        <v>7</v>
      </c>
      <c r="AG207">
        <v>5</v>
      </c>
    </row>
    <row r="208" spans="2:33" outlineLevel="1" x14ac:dyDescent="0.2">
      <c r="B208" t="s">
        <v>154</v>
      </c>
      <c r="C208" t="str">
        <f t="shared" si="1"/>
        <v>SkyshotTower L7</v>
      </c>
      <c r="D208" s="1" t="s">
        <v>246</v>
      </c>
      <c r="E208" s="2">
        <v>7</v>
      </c>
      <c r="F208" s="18">
        <v>1</v>
      </c>
      <c r="G208" s="48">
        <v>1360</v>
      </c>
      <c r="H208" s="48"/>
      <c r="I208" s="49">
        <v>1360</v>
      </c>
      <c r="J208" s="24">
        <v>42.5</v>
      </c>
      <c r="K208" s="22">
        <v>2.3529411764705882E-2</v>
      </c>
      <c r="N208">
        <v>722</v>
      </c>
      <c r="O208">
        <v>657</v>
      </c>
      <c r="P208">
        <v>597</v>
      </c>
      <c r="Q208">
        <v>542</v>
      </c>
      <c r="R208">
        <v>493</v>
      </c>
      <c r="S208">
        <v>449</v>
      </c>
      <c r="T208">
        <v>442</v>
      </c>
      <c r="U208">
        <v>371</v>
      </c>
      <c r="V208">
        <v>305</v>
      </c>
      <c r="W208">
        <v>245</v>
      </c>
      <c r="X208">
        <v>193</v>
      </c>
      <c r="Y208">
        <v>150</v>
      </c>
      <c r="Z208">
        <v>114</v>
      </c>
      <c r="AA208">
        <v>85</v>
      </c>
      <c r="AB208">
        <v>62</v>
      </c>
      <c r="AC208">
        <v>44</v>
      </c>
      <c r="AD208">
        <v>31</v>
      </c>
      <c r="AE208">
        <v>21</v>
      </c>
      <c r="AF208">
        <v>15</v>
      </c>
      <c r="AG208">
        <v>10</v>
      </c>
    </row>
    <row r="209" spans="2:33" outlineLevel="1" x14ac:dyDescent="0.2">
      <c r="B209" t="s">
        <v>154</v>
      </c>
      <c r="C209" t="str">
        <f t="shared" si="1"/>
        <v>SkyshotTower L8</v>
      </c>
      <c r="D209" s="1" t="s">
        <v>246</v>
      </c>
      <c r="E209" s="2">
        <v>8</v>
      </c>
      <c r="F209" s="18">
        <v>1</v>
      </c>
      <c r="G209" s="48">
        <v>2449</v>
      </c>
      <c r="H209" s="48"/>
      <c r="I209" s="49">
        <v>2449</v>
      </c>
      <c r="J209" s="24">
        <v>76.53125</v>
      </c>
      <c r="K209" s="22">
        <v>1.3066557778685178E-2</v>
      </c>
      <c r="N209">
        <v>1443</v>
      </c>
      <c r="O209">
        <v>1312</v>
      </c>
      <c r="P209">
        <v>1193</v>
      </c>
      <c r="Q209">
        <v>1085</v>
      </c>
      <c r="R209">
        <v>986</v>
      </c>
      <c r="S209">
        <v>896</v>
      </c>
      <c r="T209">
        <v>815</v>
      </c>
      <c r="U209">
        <v>741</v>
      </c>
      <c r="V209">
        <v>609</v>
      </c>
      <c r="W209">
        <v>490</v>
      </c>
      <c r="X209">
        <v>387</v>
      </c>
      <c r="Y209">
        <v>299</v>
      </c>
      <c r="Z209">
        <v>227</v>
      </c>
      <c r="AA209">
        <v>168</v>
      </c>
      <c r="AB209">
        <v>123</v>
      </c>
      <c r="AC209">
        <v>88</v>
      </c>
      <c r="AD209">
        <v>61</v>
      </c>
      <c r="AE209">
        <v>43</v>
      </c>
      <c r="AF209">
        <v>29</v>
      </c>
      <c r="AG209">
        <v>19</v>
      </c>
    </row>
    <row r="210" spans="2:33" outlineLevel="1" x14ac:dyDescent="0.2">
      <c r="B210" t="s">
        <v>154</v>
      </c>
      <c r="C210" t="str">
        <f t="shared" si="1"/>
        <v>SkyshotTower L9</v>
      </c>
      <c r="D210" s="1" t="s">
        <v>246</v>
      </c>
      <c r="E210" s="2">
        <v>9</v>
      </c>
      <c r="F210" s="18">
        <v>1</v>
      </c>
      <c r="G210" s="48">
        <v>4408</v>
      </c>
      <c r="H210" s="48"/>
      <c r="I210" s="49">
        <v>4408</v>
      </c>
      <c r="J210" s="24">
        <v>137.75</v>
      </c>
      <c r="K210" s="22">
        <v>7.2595281306715061E-3</v>
      </c>
      <c r="N210">
        <v>2609</v>
      </c>
      <c r="O210">
        <v>2372</v>
      </c>
      <c r="P210">
        <v>2156</v>
      </c>
      <c r="Q210">
        <v>1960</v>
      </c>
      <c r="R210">
        <v>1783</v>
      </c>
      <c r="S210">
        <v>1620</v>
      </c>
      <c r="T210">
        <v>1473</v>
      </c>
      <c r="U210">
        <v>1339</v>
      </c>
      <c r="V210">
        <v>1217</v>
      </c>
      <c r="W210">
        <v>981</v>
      </c>
      <c r="X210">
        <v>774</v>
      </c>
      <c r="Y210">
        <v>598</v>
      </c>
      <c r="Z210">
        <v>453</v>
      </c>
      <c r="AA210">
        <v>337</v>
      </c>
      <c r="AB210">
        <v>245</v>
      </c>
      <c r="AC210">
        <v>175</v>
      </c>
      <c r="AD210">
        <v>123</v>
      </c>
      <c r="AE210">
        <v>84</v>
      </c>
      <c r="AF210">
        <v>57</v>
      </c>
      <c r="AG210">
        <v>37</v>
      </c>
    </row>
    <row r="211" spans="2:33" outlineLevel="1" x14ac:dyDescent="0.2">
      <c r="B211" t="s">
        <v>154</v>
      </c>
      <c r="C211" t="str">
        <f t="shared" si="1"/>
        <v>SkyshotTower L10</v>
      </c>
      <c r="D211" s="1" t="s">
        <v>246</v>
      </c>
      <c r="E211" s="2">
        <v>10</v>
      </c>
      <c r="F211" s="18">
        <v>1</v>
      </c>
      <c r="G211" s="48">
        <v>7934</v>
      </c>
      <c r="H211" s="48"/>
      <c r="I211" s="49">
        <v>7934</v>
      </c>
      <c r="J211" s="24">
        <v>247.9375</v>
      </c>
      <c r="K211" s="22">
        <v>4.0332745147466601E-3</v>
      </c>
      <c r="N211">
        <v>4622</v>
      </c>
      <c r="O211">
        <v>4202</v>
      </c>
      <c r="P211">
        <v>3820</v>
      </c>
      <c r="Q211">
        <v>3473</v>
      </c>
      <c r="R211">
        <v>3157</v>
      </c>
      <c r="S211">
        <v>2870</v>
      </c>
      <c r="T211">
        <v>2609</v>
      </c>
      <c r="U211">
        <v>2372</v>
      </c>
      <c r="V211">
        <v>2156</v>
      </c>
      <c r="W211">
        <v>1960</v>
      </c>
      <c r="X211">
        <v>1547</v>
      </c>
      <c r="Y211">
        <v>1196</v>
      </c>
      <c r="Z211">
        <v>907</v>
      </c>
      <c r="AA211">
        <v>674</v>
      </c>
      <c r="AB211">
        <v>490</v>
      </c>
      <c r="AC211">
        <v>350</v>
      </c>
      <c r="AD211">
        <v>245</v>
      </c>
      <c r="AE211">
        <v>168</v>
      </c>
      <c r="AF211">
        <v>113</v>
      </c>
      <c r="AG211">
        <v>74</v>
      </c>
    </row>
    <row r="212" spans="2:33" outlineLevel="1" x14ac:dyDescent="0.2">
      <c r="B212" t="s">
        <v>154</v>
      </c>
      <c r="C212" t="str">
        <f t="shared" si="1"/>
        <v>SkyshotTower L11</v>
      </c>
      <c r="D212" s="1" t="s">
        <v>246</v>
      </c>
      <c r="E212" s="2">
        <v>11</v>
      </c>
      <c r="F212" s="18">
        <v>1</v>
      </c>
      <c r="G212" s="48">
        <v>14282</v>
      </c>
      <c r="H212" s="48"/>
      <c r="I212" s="49">
        <v>14282</v>
      </c>
      <c r="J212" s="24">
        <v>446.3125</v>
      </c>
      <c r="K212" s="22">
        <v>2.2405825514633807E-3</v>
      </c>
      <c r="N212">
        <v>8025</v>
      </c>
      <c r="O212">
        <v>7295</v>
      </c>
      <c r="P212">
        <v>6632</v>
      </c>
      <c r="Q212">
        <v>6029</v>
      </c>
      <c r="R212">
        <v>5481</v>
      </c>
      <c r="S212">
        <v>4983</v>
      </c>
      <c r="T212">
        <v>4530</v>
      </c>
      <c r="U212">
        <v>4118</v>
      </c>
      <c r="V212">
        <v>3743</v>
      </c>
      <c r="W212">
        <v>3403</v>
      </c>
      <c r="X212">
        <v>3094</v>
      </c>
      <c r="Y212">
        <v>2392</v>
      </c>
      <c r="Z212">
        <v>1814</v>
      </c>
      <c r="AA212">
        <v>1347</v>
      </c>
      <c r="AB212">
        <v>981</v>
      </c>
      <c r="AC212">
        <v>699</v>
      </c>
      <c r="AD212">
        <v>489</v>
      </c>
      <c r="AE212">
        <v>335</v>
      </c>
      <c r="AF212">
        <v>225</v>
      </c>
      <c r="AG212">
        <v>149</v>
      </c>
    </row>
    <row r="213" spans="2:33" outlineLevel="1" x14ac:dyDescent="0.2">
      <c r="B213" t="s">
        <v>154</v>
      </c>
      <c r="C213" t="str">
        <f t="shared" si="1"/>
        <v>SkyshotTower L12</v>
      </c>
      <c r="D213" s="1" t="s">
        <v>246</v>
      </c>
      <c r="E213" s="2">
        <v>12</v>
      </c>
      <c r="F213" s="18">
        <v>1</v>
      </c>
      <c r="G213" s="48">
        <v>25707</v>
      </c>
      <c r="H213" s="48"/>
      <c r="I213" s="49">
        <v>25707</v>
      </c>
      <c r="J213" s="24">
        <v>803.34375</v>
      </c>
      <c r="K213" s="22">
        <v>1.244797136966585E-3</v>
      </c>
      <c r="N213">
        <v>13652</v>
      </c>
      <c r="O213">
        <v>12411</v>
      </c>
      <c r="P213">
        <v>11282</v>
      </c>
      <c r="Q213">
        <v>10256</v>
      </c>
      <c r="R213">
        <v>9325</v>
      </c>
      <c r="S213">
        <v>8476</v>
      </c>
      <c r="T213">
        <v>7706</v>
      </c>
      <c r="U213">
        <v>7005</v>
      </c>
      <c r="V213">
        <v>6369</v>
      </c>
      <c r="W213">
        <v>5790</v>
      </c>
      <c r="X213">
        <v>5263</v>
      </c>
      <c r="Y213">
        <v>4786</v>
      </c>
      <c r="Z213">
        <v>3626</v>
      </c>
      <c r="AA213">
        <v>2694</v>
      </c>
      <c r="AB213">
        <v>1961</v>
      </c>
      <c r="AC213">
        <v>1399</v>
      </c>
      <c r="AD213">
        <v>978</v>
      </c>
      <c r="AE213">
        <v>670</v>
      </c>
      <c r="AF213">
        <v>450</v>
      </c>
      <c r="AG213">
        <v>296</v>
      </c>
    </row>
    <row r="214" spans="2:33" outlineLevel="1" x14ac:dyDescent="0.2">
      <c r="B214" t="s">
        <v>154</v>
      </c>
      <c r="C214" t="str">
        <f t="shared" si="1"/>
        <v>SkyshotTower L13</v>
      </c>
      <c r="D214" s="1" t="s">
        <v>246</v>
      </c>
      <c r="E214" s="2">
        <v>13</v>
      </c>
      <c r="F214" s="18">
        <v>1</v>
      </c>
      <c r="G214" s="48">
        <v>46273</v>
      </c>
      <c r="H214" s="48"/>
      <c r="I214" s="49">
        <v>46273</v>
      </c>
      <c r="J214" s="24">
        <v>1446.03125</v>
      </c>
      <c r="K214" s="22">
        <v>6.9154798694703173E-4</v>
      </c>
      <c r="N214">
        <v>22761</v>
      </c>
      <c r="O214">
        <v>20692</v>
      </c>
      <c r="P214">
        <v>18811</v>
      </c>
      <c r="Q214">
        <v>17101</v>
      </c>
      <c r="R214">
        <v>15546</v>
      </c>
      <c r="S214">
        <v>14134</v>
      </c>
      <c r="T214">
        <v>12849</v>
      </c>
      <c r="U214">
        <v>11681</v>
      </c>
      <c r="V214">
        <v>10618</v>
      </c>
      <c r="W214">
        <v>9653</v>
      </c>
      <c r="X214">
        <v>8775</v>
      </c>
      <c r="Y214">
        <v>7978</v>
      </c>
      <c r="Z214">
        <v>7252</v>
      </c>
      <c r="AA214">
        <v>5387</v>
      </c>
      <c r="AB214">
        <v>3921</v>
      </c>
      <c r="AC214">
        <v>2797</v>
      </c>
      <c r="AD214">
        <v>1956</v>
      </c>
      <c r="AE214">
        <v>1339</v>
      </c>
      <c r="AF214">
        <v>900</v>
      </c>
      <c r="AG214">
        <v>592</v>
      </c>
    </row>
    <row r="215" spans="2:33" outlineLevel="1" x14ac:dyDescent="0.2">
      <c r="B215" t="s">
        <v>154</v>
      </c>
      <c r="C215" t="str">
        <f t="shared" si="1"/>
        <v>SkyshotTower L14</v>
      </c>
      <c r="D215" s="1" t="s">
        <v>246</v>
      </c>
      <c r="E215" s="2">
        <v>14</v>
      </c>
      <c r="F215" s="18">
        <v>1</v>
      </c>
      <c r="G215" s="48">
        <v>83292</v>
      </c>
      <c r="H215" s="48"/>
      <c r="I215" s="49">
        <v>83292</v>
      </c>
      <c r="J215" s="24">
        <v>2602.875</v>
      </c>
      <c r="K215" s="22">
        <v>3.8419055851702442E-4</v>
      </c>
      <c r="N215">
        <v>37191</v>
      </c>
      <c r="O215">
        <v>33810</v>
      </c>
      <c r="P215">
        <v>30737</v>
      </c>
      <c r="Q215">
        <v>27943</v>
      </c>
      <c r="R215">
        <v>25402</v>
      </c>
      <c r="S215">
        <v>23093</v>
      </c>
      <c r="T215">
        <v>20993</v>
      </c>
      <c r="U215">
        <v>19086</v>
      </c>
      <c r="V215">
        <v>17350</v>
      </c>
      <c r="W215">
        <v>15773</v>
      </c>
      <c r="X215">
        <v>14339</v>
      </c>
      <c r="Y215">
        <v>13035</v>
      </c>
      <c r="Z215">
        <v>11851</v>
      </c>
      <c r="AA215">
        <v>10773</v>
      </c>
      <c r="AB215">
        <v>7842</v>
      </c>
      <c r="AC215">
        <v>5594</v>
      </c>
      <c r="AD215">
        <v>3910</v>
      </c>
      <c r="AE215">
        <v>2678</v>
      </c>
      <c r="AF215">
        <v>1799</v>
      </c>
      <c r="AG215">
        <v>1183</v>
      </c>
    </row>
    <row r="216" spans="2:33" outlineLevel="1" x14ac:dyDescent="0.2">
      <c r="B216" t="s">
        <v>154</v>
      </c>
      <c r="C216" t="str">
        <f t="shared" si="1"/>
        <v>SkyshotTower L15</v>
      </c>
      <c r="D216" s="1" t="s">
        <v>246</v>
      </c>
      <c r="E216" s="2">
        <v>15</v>
      </c>
      <c r="F216" s="18">
        <v>1</v>
      </c>
      <c r="G216" s="48">
        <v>149925</v>
      </c>
      <c r="H216" s="48"/>
      <c r="I216" s="49">
        <v>149925</v>
      </c>
      <c r="J216" s="24">
        <v>4685.15625</v>
      </c>
      <c r="K216" s="22">
        <v>2.1344005336001334E-4</v>
      </c>
      <c r="N216">
        <v>59555</v>
      </c>
      <c r="O216">
        <v>54140</v>
      </c>
      <c r="P216">
        <v>49218</v>
      </c>
      <c r="Q216">
        <v>44744</v>
      </c>
      <c r="R216">
        <v>40676</v>
      </c>
      <c r="S216">
        <v>36979</v>
      </c>
      <c r="T216">
        <v>33617</v>
      </c>
      <c r="U216">
        <v>30561</v>
      </c>
      <c r="V216">
        <v>27783</v>
      </c>
      <c r="W216">
        <v>25257</v>
      </c>
      <c r="X216">
        <v>22961</v>
      </c>
      <c r="Y216">
        <v>20874</v>
      </c>
      <c r="Z216">
        <v>18976</v>
      </c>
      <c r="AA216">
        <v>17251</v>
      </c>
      <c r="AB216">
        <v>15683</v>
      </c>
      <c r="AC216">
        <v>11187</v>
      </c>
      <c r="AD216">
        <v>7820</v>
      </c>
      <c r="AE216">
        <v>5358</v>
      </c>
      <c r="AF216">
        <v>3597</v>
      </c>
      <c r="AG216">
        <v>2366</v>
      </c>
    </row>
    <row r="217" spans="2:33" outlineLevel="1" x14ac:dyDescent="0.2">
      <c r="B217" t="s">
        <v>154</v>
      </c>
      <c r="C217" t="str">
        <f t="shared" si="1"/>
        <v>SkyshotTower L16</v>
      </c>
      <c r="D217" s="1" t="s">
        <v>246</v>
      </c>
      <c r="E217" s="2">
        <v>16</v>
      </c>
      <c r="F217" s="18">
        <v>1</v>
      </c>
      <c r="G217" s="48">
        <v>269866</v>
      </c>
      <c r="H217" s="48"/>
      <c r="I217" s="49">
        <v>269866</v>
      </c>
      <c r="J217" s="24">
        <v>8433.3125</v>
      </c>
      <c r="K217" s="22">
        <v>1.1857736802709492E-4</v>
      </c>
      <c r="N217">
        <v>93456</v>
      </c>
      <c r="O217">
        <v>84961</v>
      </c>
      <c r="P217">
        <v>77237</v>
      </c>
      <c r="Q217">
        <v>70216</v>
      </c>
      <c r="R217">
        <v>63832</v>
      </c>
      <c r="S217">
        <v>58029</v>
      </c>
      <c r="T217">
        <v>52753</v>
      </c>
      <c r="U217">
        <v>47959</v>
      </c>
      <c r="V217">
        <v>43598</v>
      </c>
      <c r="W217">
        <v>39635</v>
      </c>
      <c r="X217">
        <v>36032</v>
      </c>
      <c r="Y217">
        <v>32756</v>
      </c>
      <c r="Z217">
        <v>29778</v>
      </c>
      <c r="AA217">
        <v>27071</v>
      </c>
      <c r="AB217">
        <v>24611</v>
      </c>
      <c r="AC217">
        <v>22373</v>
      </c>
      <c r="AD217">
        <v>15639</v>
      </c>
      <c r="AE217">
        <v>10715</v>
      </c>
      <c r="AF217">
        <v>7194</v>
      </c>
      <c r="AG217">
        <v>4732</v>
      </c>
    </row>
    <row r="218" spans="2:33" outlineLevel="1" x14ac:dyDescent="0.2">
      <c r="B218" t="s">
        <v>154</v>
      </c>
      <c r="C218" t="str">
        <f t="shared" si="1"/>
        <v>SkyshotTower L17</v>
      </c>
      <c r="D218" s="1" t="s">
        <v>246</v>
      </c>
      <c r="E218" s="2">
        <v>17</v>
      </c>
      <c r="F218" s="18">
        <v>1</v>
      </c>
      <c r="G218" s="48">
        <v>485758</v>
      </c>
      <c r="H218" s="48"/>
      <c r="I218" s="49">
        <v>485758</v>
      </c>
      <c r="J218" s="24">
        <v>15179.9375</v>
      </c>
      <c r="K218" s="22">
        <v>6.5876424063010799E-5</v>
      </c>
      <c r="N218">
        <v>143725</v>
      </c>
      <c r="O218">
        <v>130659</v>
      </c>
      <c r="P218">
        <v>118780</v>
      </c>
      <c r="Q218">
        <v>107983</v>
      </c>
      <c r="R218">
        <v>98166</v>
      </c>
      <c r="S218">
        <v>89242</v>
      </c>
      <c r="T218">
        <v>81129</v>
      </c>
      <c r="U218">
        <v>73754</v>
      </c>
      <c r="V218">
        <v>67049</v>
      </c>
      <c r="W218">
        <v>60953</v>
      </c>
      <c r="X218">
        <v>55412</v>
      </c>
      <c r="Y218">
        <v>50375</v>
      </c>
      <c r="Z218">
        <v>45795</v>
      </c>
      <c r="AA218">
        <v>41632</v>
      </c>
      <c r="AB218">
        <v>37848</v>
      </c>
      <c r="AC218">
        <v>34407</v>
      </c>
      <c r="AD218">
        <v>31280</v>
      </c>
      <c r="AE218">
        <v>21428</v>
      </c>
      <c r="AF218">
        <v>14386</v>
      </c>
      <c r="AG218">
        <v>9466</v>
      </c>
    </row>
    <row r="219" spans="2:33" outlineLevel="1" x14ac:dyDescent="0.2">
      <c r="B219" t="s">
        <v>154</v>
      </c>
      <c r="C219" t="str">
        <f t="shared" ref="C219:C282" si="2">D219&amp;" L"&amp;E219</f>
        <v>SkyshotTower L18</v>
      </c>
      <c r="D219" s="1" t="s">
        <v>246</v>
      </c>
      <c r="E219" s="2">
        <v>18</v>
      </c>
      <c r="F219" s="18">
        <v>1</v>
      </c>
      <c r="G219" s="48">
        <v>874365</v>
      </c>
      <c r="H219" s="48"/>
      <c r="I219" s="49">
        <v>874365</v>
      </c>
      <c r="J219" s="24">
        <v>27323.90625</v>
      </c>
      <c r="K219" s="22">
        <v>3.6597988254333147E-5</v>
      </c>
      <c r="N219">
        <v>216611</v>
      </c>
      <c r="O219">
        <v>196919</v>
      </c>
      <c r="P219">
        <v>179018</v>
      </c>
      <c r="Q219">
        <v>162743</v>
      </c>
      <c r="R219">
        <v>147948</v>
      </c>
      <c r="S219">
        <v>134498</v>
      </c>
      <c r="T219">
        <v>122272</v>
      </c>
      <c r="U219">
        <v>111156</v>
      </c>
      <c r="V219">
        <v>101051</v>
      </c>
      <c r="W219">
        <v>91865</v>
      </c>
      <c r="X219">
        <v>83514</v>
      </c>
      <c r="Y219">
        <v>75922</v>
      </c>
      <c r="Z219">
        <v>69020</v>
      </c>
      <c r="AA219">
        <v>62745</v>
      </c>
      <c r="AB219">
        <v>57041</v>
      </c>
      <c r="AC219">
        <v>51855</v>
      </c>
      <c r="AD219">
        <v>47142</v>
      </c>
      <c r="AE219">
        <v>42856</v>
      </c>
      <c r="AF219">
        <v>28772</v>
      </c>
      <c r="AG219">
        <v>18930</v>
      </c>
    </row>
    <row r="220" spans="2:33" outlineLevel="1" x14ac:dyDescent="0.2">
      <c r="B220" t="s">
        <v>154</v>
      </c>
      <c r="C220" t="str">
        <f t="shared" si="2"/>
        <v>SkyshotTower L19</v>
      </c>
      <c r="D220" s="1" t="s">
        <v>246</v>
      </c>
      <c r="E220" s="2">
        <v>19</v>
      </c>
      <c r="F220" s="18">
        <v>1</v>
      </c>
      <c r="G220" s="48">
        <v>1573856</v>
      </c>
      <c r="H220" s="48"/>
      <c r="I220" s="49">
        <v>1573856</v>
      </c>
      <c r="J220" s="24">
        <v>49183</v>
      </c>
      <c r="K220" s="22">
        <v>2.0332228615578553E-5</v>
      </c>
      <c r="N220">
        <v>319932</v>
      </c>
      <c r="O220">
        <v>290846</v>
      </c>
      <c r="P220">
        <v>264406</v>
      </c>
      <c r="Q220">
        <v>240369</v>
      </c>
      <c r="R220">
        <v>218517</v>
      </c>
      <c r="S220">
        <v>198652</v>
      </c>
      <c r="T220">
        <v>180593</v>
      </c>
      <c r="U220">
        <v>164175</v>
      </c>
      <c r="V220">
        <v>149250</v>
      </c>
      <c r="W220">
        <v>135683</v>
      </c>
      <c r="X220">
        <v>123348</v>
      </c>
      <c r="Y220">
        <v>112134</v>
      </c>
      <c r="Z220">
        <v>101940</v>
      </c>
      <c r="AA220">
        <v>92673</v>
      </c>
      <c r="AB220">
        <v>84248</v>
      </c>
      <c r="AC220">
        <v>76589</v>
      </c>
      <c r="AD220">
        <v>69626</v>
      </c>
      <c r="AE220">
        <v>63297</v>
      </c>
      <c r="AF220">
        <v>57543</v>
      </c>
      <c r="AG220">
        <v>37860</v>
      </c>
    </row>
    <row r="221" spans="2:33" s="37" customFormat="1" outlineLevel="1" x14ac:dyDescent="0.2">
      <c r="B221" s="37" t="s">
        <v>154</v>
      </c>
      <c r="C221" s="37" t="str">
        <f t="shared" si="2"/>
        <v>SkyshotTower L20</v>
      </c>
      <c r="D221" s="38" t="s">
        <v>246</v>
      </c>
      <c r="E221" s="39">
        <v>20</v>
      </c>
      <c r="F221" s="40">
        <v>1</v>
      </c>
      <c r="G221" s="51">
        <v>2832941</v>
      </c>
      <c r="H221" s="51"/>
      <c r="I221" s="52">
        <v>2832941</v>
      </c>
      <c r="J221" s="42">
        <v>88529.40625</v>
      </c>
      <c r="K221" s="43">
        <v>1.1295681766757586E-5</v>
      </c>
      <c r="L221" s="44"/>
      <c r="N221" s="37">
        <v>463082</v>
      </c>
      <c r="O221" s="37">
        <v>420984</v>
      </c>
      <c r="P221" s="37">
        <v>382713</v>
      </c>
      <c r="Q221" s="37">
        <v>347921</v>
      </c>
      <c r="R221" s="37">
        <v>316292</v>
      </c>
      <c r="S221" s="37">
        <v>287538</v>
      </c>
      <c r="T221" s="37">
        <v>261398</v>
      </c>
      <c r="U221" s="37">
        <v>237635</v>
      </c>
      <c r="V221" s="37">
        <v>216031</v>
      </c>
      <c r="W221" s="37">
        <v>196393</v>
      </c>
      <c r="X221" s="37">
        <v>178539</v>
      </c>
      <c r="Y221" s="37">
        <v>162308</v>
      </c>
      <c r="Z221" s="37">
        <v>147553</v>
      </c>
      <c r="AA221" s="37">
        <v>134139</v>
      </c>
      <c r="AB221" s="37">
        <v>121945</v>
      </c>
      <c r="AC221" s="37">
        <v>110859</v>
      </c>
      <c r="AD221" s="37">
        <v>100781</v>
      </c>
      <c r="AE221" s="37">
        <v>91619</v>
      </c>
      <c r="AF221" s="37">
        <v>83290</v>
      </c>
      <c r="AG221" s="37">
        <v>75718</v>
      </c>
    </row>
    <row r="222" spans="2:33" x14ac:dyDescent="0.2">
      <c r="B222" t="s">
        <v>155</v>
      </c>
      <c r="C222" t="str">
        <f t="shared" si="2"/>
        <v>Sawmill L1</v>
      </c>
      <c r="D222" s="1" t="s">
        <v>157</v>
      </c>
      <c r="E222" s="2">
        <v>1</v>
      </c>
      <c r="F222" s="18">
        <v>1</v>
      </c>
      <c r="G222" s="50">
        <v>70</v>
      </c>
      <c r="H222" s="50"/>
      <c r="I222" s="49">
        <v>70</v>
      </c>
      <c r="J222" s="24">
        <v>2.1875</v>
      </c>
      <c r="K222" s="22">
        <v>0.45714285714285713</v>
      </c>
      <c r="L222" s="5" t="s">
        <v>156</v>
      </c>
      <c r="N222">
        <v>64</v>
      </c>
      <c r="O222">
        <v>96</v>
      </c>
      <c r="P222">
        <v>87</v>
      </c>
      <c r="Q222">
        <v>80</v>
      </c>
      <c r="R222">
        <v>72</v>
      </c>
      <c r="S222">
        <v>65</v>
      </c>
      <c r="T222">
        <v>46</v>
      </c>
      <c r="U222">
        <v>32</v>
      </c>
      <c r="V222">
        <v>22</v>
      </c>
      <c r="W222">
        <v>16</v>
      </c>
      <c r="X222">
        <v>11</v>
      </c>
      <c r="Y222">
        <v>8</v>
      </c>
      <c r="Z222">
        <v>6</v>
      </c>
      <c r="AA222">
        <v>5</v>
      </c>
      <c r="AB222">
        <v>4</v>
      </c>
      <c r="AC222">
        <v>3</v>
      </c>
      <c r="AD222">
        <v>2</v>
      </c>
      <c r="AE222">
        <v>2</v>
      </c>
      <c r="AF222">
        <v>2</v>
      </c>
      <c r="AG222">
        <v>2</v>
      </c>
    </row>
    <row r="223" spans="2:33" outlineLevel="1" x14ac:dyDescent="0.2">
      <c r="B223" t="s">
        <v>155</v>
      </c>
      <c r="C223" t="str">
        <f t="shared" si="2"/>
        <v>Sawmill L2</v>
      </c>
      <c r="D223" s="1" t="s">
        <v>157</v>
      </c>
      <c r="E223" s="2">
        <v>2</v>
      </c>
      <c r="F223" s="18">
        <v>1</v>
      </c>
      <c r="G223" s="48">
        <v>126</v>
      </c>
      <c r="H223" s="48"/>
      <c r="I223" s="49">
        <v>126</v>
      </c>
      <c r="J223" s="24">
        <v>3.9375</v>
      </c>
      <c r="K223" s="22">
        <v>0.25396825396825395</v>
      </c>
      <c r="L223" s="53" t="s">
        <v>156</v>
      </c>
      <c r="N223">
        <v>140</v>
      </c>
      <c r="O223">
        <v>212</v>
      </c>
      <c r="P223">
        <v>192</v>
      </c>
      <c r="Q223">
        <v>175</v>
      </c>
      <c r="R223">
        <v>159</v>
      </c>
      <c r="S223">
        <v>145</v>
      </c>
      <c r="T223">
        <v>132</v>
      </c>
      <c r="U223">
        <v>120</v>
      </c>
      <c r="V223">
        <v>84</v>
      </c>
      <c r="W223">
        <v>59</v>
      </c>
      <c r="X223">
        <v>42</v>
      </c>
      <c r="Y223">
        <v>30</v>
      </c>
      <c r="Z223">
        <v>21</v>
      </c>
      <c r="AA223">
        <v>15</v>
      </c>
      <c r="AB223">
        <v>10</v>
      </c>
      <c r="AC223">
        <v>7</v>
      </c>
      <c r="AD223">
        <v>5</v>
      </c>
      <c r="AE223">
        <v>4</v>
      </c>
      <c r="AF223">
        <v>3</v>
      </c>
      <c r="AG223">
        <v>2</v>
      </c>
    </row>
    <row r="224" spans="2:33" outlineLevel="1" x14ac:dyDescent="0.2">
      <c r="B224" t="s">
        <v>155</v>
      </c>
      <c r="C224" t="str">
        <f t="shared" si="2"/>
        <v>Sawmill L3</v>
      </c>
      <c r="D224" s="1" t="s">
        <v>157</v>
      </c>
      <c r="E224" s="2">
        <v>3</v>
      </c>
      <c r="F224" s="18">
        <v>1</v>
      </c>
      <c r="G224" s="48">
        <v>227</v>
      </c>
      <c r="H224" s="48"/>
      <c r="I224" s="49">
        <v>227</v>
      </c>
      <c r="J224" s="24">
        <v>7.09375</v>
      </c>
      <c r="K224" s="22">
        <v>0.14096916299559473</v>
      </c>
      <c r="L224" s="53" t="s">
        <v>156</v>
      </c>
      <c r="N224">
        <v>306</v>
      </c>
      <c r="O224">
        <v>463</v>
      </c>
      <c r="P224">
        <v>421</v>
      </c>
      <c r="Q224">
        <v>383</v>
      </c>
      <c r="R224">
        <v>348</v>
      </c>
      <c r="S224">
        <v>317</v>
      </c>
      <c r="T224">
        <v>288</v>
      </c>
      <c r="U224">
        <v>262</v>
      </c>
      <c r="V224">
        <v>238</v>
      </c>
      <c r="W224">
        <v>216</v>
      </c>
      <c r="X224">
        <v>151</v>
      </c>
      <c r="Y224">
        <v>106</v>
      </c>
      <c r="Z224">
        <v>74</v>
      </c>
      <c r="AA224">
        <v>52</v>
      </c>
      <c r="AB224">
        <v>37</v>
      </c>
      <c r="AC224">
        <v>26</v>
      </c>
      <c r="AD224">
        <v>19</v>
      </c>
      <c r="AE224">
        <v>13</v>
      </c>
      <c r="AF224">
        <v>9</v>
      </c>
      <c r="AG224">
        <v>7</v>
      </c>
    </row>
    <row r="225" spans="2:33" outlineLevel="1" x14ac:dyDescent="0.2">
      <c r="B225" t="s">
        <v>155</v>
      </c>
      <c r="C225" t="str">
        <f t="shared" si="2"/>
        <v>Sawmill L4</v>
      </c>
      <c r="D225" s="1" t="s">
        <v>157</v>
      </c>
      <c r="E225" s="2">
        <v>4</v>
      </c>
      <c r="F225" s="18">
        <v>1</v>
      </c>
      <c r="G225" s="48">
        <v>408</v>
      </c>
      <c r="H225" s="48"/>
      <c r="I225" s="49">
        <v>408</v>
      </c>
      <c r="J225" s="24">
        <v>12.75</v>
      </c>
      <c r="K225" s="22">
        <v>7.8431372549019607E-2</v>
      </c>
      <c r="L225" s="53" t="s">
        <v>156</v>
      </c>
      <c r="N225">
        <v>612</v>
      </c>
      <c r="O225">
        <v>927</v>
      </c>
      <c r="P225">
        <v>842</v>
      </c>
      <c r="Q225">
        <v>765</v>
      </c>
      <c r="R225">
        <v>696</v>
      </c>
      <c r="S225">
        <v>633</v>
      </c>
      <c r="T225">
        <v>576</v>
      </c>
      <c r="U225">
        <v>524</v>
      </c>
      <c r="V225">
        <v>476</v>
      </c>
      <c r="W225">
        <v>433</v>
      </c>
      <c r="X225">
        <v>394</v>
      </c>
      <c r="Y225">
        <v>276</v>
      </c>
      <c r="Z225">
        <v>193</v>
      </c>
      <c r="AA225">
        <v>136</v>
      </c>
      <c r="AB225">
        <v>96</v>
      </c>
      <c r="AC225">
        <v>68</v>
      </c>
      <c r="AD225">
        <v>47</v>
      </c>
      <c r="AE225">
        <v>33</v>
      </c>
      <c r="AF225">
        <v>23</v>
      </c>
      <c r="AG225">
        <v>17</v>
      </c>
    </row>
    <row r="226" spans="2:33" outlineLevel="1" x14ac:dyDescent="0.2">
      <c r="B226" t="s">
        <v>155</v>
      </c>
      <c r="C226" t="str">
        <f t="shared" si="2"/>
        <v>Sawmill L5</v>
      </c>
      <c r="D226" s="1" t="s">
        <v>157</v>
      </c>
      <c r="E226" s="2">
        <v>5</v>
      </c>
      <c r="F226" s="18">
        <v>1</v>
      </c>
      <c r="G226" s="48">
        <v>735</v>
      </c>
      <c r="H226" s="48"/>
      <c r="I226" s="49">
        <v>735</v>
      </c>
      <c r="J226" s="24">
        <v>22.96875</v>
      </c>
      <c r="K226" s="22">
        <v>4.3537414965986392E-2</v>
      </c>
      <c r="L226" s="53" t="s">
        <v>156</v>
      </c>
      <c r="N226">
        <v>1349</v>
      </c>
      <c r="O226">
        <v>2043</v>
      </c>
      <c r="P226">
        <v>1857</v>
      </c>
      <c r="Q226">
        <v>1688</v>
      </c>
      <c r="R226">
        <v>1534</v>
      </c>
      <c r="S226">
        <v>1395</v>
      </c>
      <c r="T226">
        <v>1268</v>
      </c>
      <c r="U226">
        <v>1153</v>
      </c>
      <c r="V226">
        <v>1048</v>
      </c>
      <c r="W226">
        <v>953</v>
      </c>
      <c r="X226">
        <v>866</v>
      </c>
      <c r="Y226">
        <v>787</v>
      </c>
      <c r="Z226">
        <v>715</v>
      </c>
      <c r="AA226">
        <v>501</v>
      </c>
      <c r="AB226">
        <v>350</v>
      </c>
      <c r="AC226">
        <v>245</v>
      </c>
      <c r="AD226">
        <v>172</v>
      </c>
      <c r="AE226">
        <v>121</v>
      </c>
      <c r="AF226">
        <v>85</v>
      </c>
      <c r="AG226">
        <v>60</v>
      </c>
    </row>
    <row r="227" spans="2:33" outlineLevel="1" x14ac:dyDescent="0.2">
      <c r="B227" t="s">
        <v>155</v>
      </c>
      <c r="C227" t="str">
        <f t="shared" si="2"/>
        <v>Sawmill L6</v>
      </c>
      <c r="D227" s="1" t="s">
        <v>157</v>
      </c>
      <c r="E227" s="2">
        <v>6</v>
      </c>
      <c r="F227" s="18">
        <v>1</v>
      </c>
      <c r="G227" s="48">
        <v>1323</v>
      </c>
      <c r="H227" s="48"/>
      <c r="I227" s="49">
        <v>1323</v>
      </c>
      <c r="J227" s="24">
        <v>41.34375</v>
      </c>
      <c r="K227" s="22">
        <v>2.4187452758881331E-2</v>
      </c>
      <c r="L227" s="53" t="s">
        <v>156</v>
      </c>
      <c r="N227">
        <v>2963</v>
      </c>
      <c r="O227">
        <v>4489</v>
      </c>
      <c r="P227">
        <v>4080</v>
      </c>
      <c r="Q227">
        <v>3710</v>
      </c>
      <c r="R227">
        <v>3373</v>
      </c>
      <c r="S227">
        <v>3066</v>
      </c>
      <c r="T227">
        <v>2788</v>
      </c>
      <c r="U227">
        <v>2534</v>
      </c>
      <c r="V227">
        <v>2304</v>
      </c>
      <c r="W227">
        <v>2095</v>
      </c>
      <c r="X227">
        <v>1904</v>
      </c>
      <c r="Y227">
        <v>1731</v>
      </c>
      <c r="Z227">
        <v>1573</v>
      </c>
      <c r="AA227">
        <v>1430</v>
      </c>
      <c r="AB227">
        <v>1300</v>
      </c>
      <c r="AC227">
        <v>910</v>
      </c>
      <c r="AD227">
        <v>637</v>
      </c>
      <c r="AE227">
        <v>447</v>
      </c>
      <c r="AF227">
        <v>312</v>
      </c>
      <c r="AG227">
        <v>219</v>
      </c>
    </row>
    <row r="228" spans="2:33" outlineLevel="1" x14ac:dyDescent="0.2">
      <c r="B228" t="s">
        <v>155</v>
      </c>
      <c r="C228" t="str">
        <f t="shared" si="2"/>
        <v>Sawmill L7</v>
      </c>
      <c r="D228" s="1" t="s">
        <v>157</v>
      </c>
      <c r="E228" s="2">
        <v>7</v>
      </c>
      <c r="F228" s="18">
        <v>1</v>
      </c>
      <c r="G228" s="48">
        <v>2381</v>
      </c>
      <c r="H228" s="48"/>
      <c r="I228" s="49">
        <v>2381</v>
      </c>
      <c r="J228" s="24">
        <v>74.40625</v>
      </c>
      <c r="K228" s="22">
        <v>1.3439731205375893E-2</v>
      </c>
      <c r="L228" s="53" t="s">
        <v>156</v>
      </c>
      <c r="N228">
        <v>5933</v>
      </c>
      <c r="O228">
        <v>8989</v>
      </c>
      <c r="P228">
        <v>8172</v>
      </c>
      <c r="Q228">
        <v>7429</v>
      </c>
      <c r="R228">
        <v>6754</v>
      </c>
      <c r="S228">
        <v>6140</v>
      </c>
      <c r="T228">
        <v>5582</v>
      </c>
      <c r="U228">
        <v>5075</v>
      </c>
      <c r="V228">
        <v>4613</v>
      </c>
      <c r="W228">
        <v>4194</v>
      </c>
      <c r="X228">
        <v>3813</v>
      </c>
      <c r="Y228">
        <v>3466</v>
      </c>
      <c r="Z228">
        <v>3151</v>
      </c>
      <c r="AA228">
        <v>2865</v>
      </c>
      <c r="AB228">
        <v>2605</v>
      </c>
      <c r="AC228">
        <v>2368</v>
      </c>
      <c r="AD228">
        <v>1658</v>
      </c>
      <c r="AE228">
        <v>1161</v>
      </c>
      <c r="AF228">
        <v>813</v>
      </c>
      <c r="AG228">
        <v>569</v>
      </c>
    </row>
    <row r="229" spans="2:33" outlineLevel="1" x14ac:dyDescent="0.2">
      <c r="B229" t="s">
        <v>155</v>
      </c>
      <c r="C229" t="str">
        <f t="shared" si="2"/>
        <v>Sawmill L8</v>
      </c>
      <c r="D229" s="1" t="s">
        <v>157</v>
      </c>
      <c r="E229" s="2">
        <v>8</v>
      </c>
      <c r="F229" s="18">
        <v>1</v>
      </c>
      <c r="G229" s="48">
        <v>4286</v>
      </c>
      <c r="H229" s="48"/>
      <c r="I229" s="49">
        <v>4286</v>
      </c>
      <c r="J229" s="24">
        <v>133.9375</v>
      </c>
      <c r="K229" s="22">
        <v>7.466168922071862E-3</v>
      </c>
      <c r="L229" s="53" t="s">
        <v>156</v>
      </c>
      <c r="N229">
        <v>11885</v>
      </c>
      <c r="O229">
        <v>18007</v>
      </c>
      <c r="P229">
        <v>16370</v>
      </c>
      <c r="Q229">
        <v>14881</v>
      </c>
      <c r="R229">
        <v>13528</v>
      </c>
      <c r="S229">
        <v>12298</v>
      </c>
      <c r="T229">
        <v>11180</v>
      </c>
      <c r="U229">
        <v>10164</v>
      </c>
      <c r="V229">
        <v>9240</v>
      </c>
      <c r="W229">
        <v>8401</v>
      </c>
      <c r="X229">
        <v>7637</v>
      </c>
      <c r="Y229">
        <v>6942</v>
      </c>
      <c r="Z229">
        <v>6311</v>
      </c>
      <c r="AA229">
        <v>5737</v>
      </c>
      <c r="AB229">
        <v>5216</v>
      </c>
      <c r="AC229">
        <v>4741</v>
      </c>
      <c r="AD229">
        <v>4310</v>
      </c>
      <c r="AE229">
        <v>3018</v>
      </c>
      <c r="AF229">
        <v>2113</v>
      </c>
      <c r="AG229">
        <v>1479</v>
      </c>
    </row>
    <row r="230" spans="2:33" outlineLevel="1" x14ac:dyDescent="0.2">
      <c r="B230" t="s">
        <v>155</v>
      </c>
      <c r="C230" t="str">
        <f t="shared" si="2"/>
        <v>Sawmill L9</v>
      </c>
      <c r="D230" s="1" t="s">
        <v>157</v>
      </c>
      <c r="E230" s="2">
        <v>9</v>
      </c>
      <c r="F230" s="18">
        <v>1</v>
      </c>
      <c r="G230" s="48">
        <v>7714</v>
      </c>
      <c r="H230" s="48"/>
      <c r="I230" s="49">
        <v>7714</v>
      </c>
      <c r="J230" s="24">
        <v>241.0625</v>
      </c>
      <c r="K230" s="22">
        <v>4.1483017889551461E-3</v>
      </c>
      <c r="L230" s="53" t="s">
        <v>156</v>
      </c>
      <c r="N230">
        <v>23793</v>
      </c>
      <c r="O230">
        <v>36048</v>
      </c>
      <c r="P230">
        <v>32771</v>
      </c>
      <c r="Q230">
        <v>29792</v>
      </c>
      <c r="R230">
        <v>27084</v>
      </c>
      <c r="S230">
        <v>24621</v>
      </c>
      <c r="T230">
        <v>22383</v>
      </c>
      <c r="U230">
        <v>20349</v>
      </c>
      <c r="V230">
        <v>18498</v>
      </c>
      <c r="W230">
        <v>16817</v>
      </c>
      <c r="X230">
        <v>15288</v>
      </c>
      <c r="Y230">
        <v>13899</v>
      </c>
      <c r="Z230">
        <v>12635</v>
      </c>
      <c r="AA230">
        <v>11487</v>
      </c>
      <c r="AB230">
        <v>10443</v>
      </c>
      <c r="AC230">
        <v>9494</v>
      </c>
      <c r="AD230">
        <v>8630</v>
      </c>
      <c r="AE230">
        <v>7846</v>
      </c>
      <c r="AF230">
        <v>5492</v>
      </c>
      <c r="AG230">
        <v>3844</v>
      </c>
    </row>
    <row r="231" spans="2:33" outlineLevel="1" x14ac:dyDescent="0.2">
      <c r="B231" t="s">
        <v>155</v>
      </c>
      <c r="C231" t="str">
        <f t="shared" si="2"/>
        <v>Sawmill L10</v>
      </c>
      <c r="D231" s="1" t="s">
        <v>157</v>
      </c>
      <c r="E231" s="2">
        <v>10</v>
      </c>
      <c r="F231" s="18">
        <v>1</v>
      </c>
      <c r="G231" s="48">
        <v>13885</v>
      </c>
      <c r="H231" s="48"/>
      <c r="I231" s="49">
        <v>13885</v>
      </c>
      <c r="J231" s="24">
        <v>433.90625</v>
      </c>
      <c r="K231" s="22">
        <v>2.3046453006841917E-3</v>
      </c>
      <c r="L231" s="53" t="s">
        <v>156</v>
      </c>
      <c r="N231">
        <v>47641</v>
      </c>
      <c r="O231">
        <v>72183</v>
      </c>
      <c r="P231">
        <v>65621</v>
      </c>
      <c r="Q231">
        <v>59655</v>
      </c>
      <c r="R231">
        <v>54232</v>
      </c>
      <c r="S231">
        <v>49302</v>
      </c>
      <c r="T231">
        <v>44820</v>
      </c>
      <c r="U231">
        <v>40746</v>
      </c>
      <c r="V231">
        <v>37042</v>
      </c>
      <c r="W231">
        <v>33675</v>
      </c>
      <c r="X231">
        <v>30613</v>
      </c>
      <c r="Y231">
        <v>27830</v>
      </c>
      <c r="Z231">
        <v>25301</v>
      </c>
      <c r="AA231">
        <v>23001</v>
      </c>
      <c r="AB231">
        <v>20910</v>
      </c>
      <c r="AC231">
        <v>19009</v>
      </c>
      <c r="AD231">
        <v>17281</v>
      </c>
      <c r="AE231">
        <v>15710</v>
      </c>
      <c r="AF231">
        <v>14282</v>
      </c>
      <c r="AG231">
        <v>9997</v>
      </c>
    </row>
    <row r="232" spans="2:33" outlineLevel="1" x14ac:dyDescent="0.2">
      <c r="B232" t="s">
        <v>155</v>
      </c>
      <c r="C232" t="str">
        <f t="shared" si="2"/>
        <v>Sawmill L11</v>
      </c>
      <c r="D232" s="1" t="s">
        <v>157</v>
      </c>
      <c r="E232" s="2">
        <v>11</v>
      </c>
      <c r="F232" s="18">
        <v>1</v>
      </c>
      <c r="G232" s="48">
        <v>24993</v>
      </c>
      <c r="H232" s="48"/>
      <c r="I232" s="49">
        <v>24993</v>
      </c>
      <c r="J232" s="24">
        <v>781.03125</v>
      </c>
      <c r="K232" s="22">
        <v>1.2803585003801064E-3</v>
      </c>
      <c r="L232" s="53" t="s">
        <v>156</v>
      </c>
      <c r="N232">
        <v>95410</v>
      </c>
      <c r="O232">
        <v>144560</v>
      </c>
      <c r="P232">
        <v>131419</v>
      </c>
      <c r="Q232">
        <v>119472</v>
      </c>
      <c r="R232">
        <v>108610</v>
      </c>
      <c r="S232">
        <v>98737</v>
      </c>
      <c r="T232">
        <v>89760</v>
      </c>
      <c r="U232">
        <v>81600</v>
      </c>
      <c r="V232">
        <v>74182</v>
      </c>
      <c r="W232">
        <v>67438</v>
      </c>
      <c r="X232">
        <v>61307</v>
      </c>
      <c r="Y232">
        <v>55734</v>
      </c>
      <c r="Z232">
        <v>50667</v>
      </c>
      <c r="AA232">
        <v>46061</v>
      </c>
      <c r="AB232">
        <v>41873</v>
      </c>
      <c r="AC232">
        <v>38067</v>
      </c>
      <c r="AD232">
        <v>34606</v>
      </c>
      <c r="AE232">
        <v>31460</v>
      </c>
      <c r="AF232">
        <v>28600</v>
      </c>
      <c r="AG232">
        <v>26000</v>
      </c>
    </row>
    <row r="233" spans="2:33" outlineLevel="1" x14ac:dyDescent="0.2">
      <c r="B233" t="s">
        <v>155</v>
      </c>
      <c r="C233" t="str">
        <f t="shared" si="2"/>
        <v>Sawmill L12</v>
      </c>
      <c r="D233" s="1" t="s">
        <v>157</v>
      </c>
      <c r="E233" s="2">
        <v>12</v>
      </c>
      <c r="F233" s="18">
        <v>1</v>
      </c>
      <c r="G233" s="48">
        <v>44988</v>
      </c>
      <c r="H233" s="48"/>
      <c r="I233" s="49">
        <v>44988</v>
      </c>
      <c r="J233" s="24">
        <v>1405.875</v>
      </c>
      <c r="K233" s="22">
        <v>7.1130079132213032E-4</v>
      </c>
      <c r="L233" s="53" t="s">
        <v>156</v>
      </c>
      <c r="N233">
        <v>171600</v>
      </c>
      <c r="O233">
        <v>260000</v>
      </c>
      <c r="P233">
        <v>236167</v>
      </c>
      <c r="Q233">
        <v>215584</v>
      </c>
      <c r="R233">
        <v>195000</v>
      </c>
      <c r="S233">
        <v>177667</v>
      </c>
      <c r="T233">
        <v>161417</v>
      </c>
      <c r="U233">
        <v>147334</v>
      </c>
      <c r="V233">
        <v>133250</v>
      </c>
      <c r="W233">
        <v>121334</v>
      </c>
      <c r="X233">
        <v>110500</v>
      </c>
      <c r="Y233">
        <v>100750</v>
      </c>
      <c r="Z233">
        <v>91000</v>
      </c>
      <c r="AA233">
        <v>83417</v>
      </c>
      <c r="AB233">
        <v>75834</v>
      </c>
      <c r="AC233">
        <v>68250</v>
      </c>
      <c r="AD233">
        <v>61750</v>
      </c>
      <c r="AE233">
        <v>56334</v>
      </c>
      <c r="AF233">
        <v>52000</v>
      </c>
      <c r="AG233">
        <v>46584</v>
      </c>
    </row>
    <row r="234" spans="2:33" outlineLevel="1" x14ac:dyDescent="0.2">
      <c r="B234" t="s">
        <v>155</v>
      </c>
      <c r="C234" t="str">
        <f t="shared" si="2"/>
        <v>Sawmill L13</v>
      </c>
      <c r="D234" s="1" t="s">
        <v>157</v>
      </c>
      <c r="E234" s="2">
        <v>13</v>
      </c>
      <c r="F234" s="18">
        <v>1</v>
      </c>
      <c r="G234" s="48">
        <v>80978</v>
      </c>
      <c r="H234" s="48"/>
      <c r="I234" s="49">
        <v>80978</v>
      </c>
      <c r="J234" s="24">
        <v>2530.5625</v>
      </c>
      <c r="K234" s="22">
        <v>3.9516905826273802E-4</v>
      </c>
      <c r="L234" s="53" t="s">
        <v>156</v>
      </c>
      <c r="N234">
        <v>308751</v>
      </c>
      <c r="O234">
        <v>468000</v>
      </c>
      <c r="P234">
        <v>424667</v>
      </c>
      <c r="Q234">
        <v>387834</v>
      </c>
      <c r="R234">
        <v>351000</v>
      </c>
      <c r="S234">
        <v>319584</v>
      </c>
      <c r="T234">
        <v>290334</v>
      </c>
      <c r="U234">
        <v>265417</v>
      </c>
      <c r="V234">
        <v>239417</v>
      </c>
      <c r="W234">
        <v>218834</v>
      </c>
      <c r="X234">
        <v>199334</v>
      </c>
      <c r="Y234">
        <v>180917</v>
      </c>
      <c r="Z234">
        <v>163584</v>
      </c>
      <c r="AA234">
        <v>150584</v>
      </c>
      <c r="AB234">
        <v>136500</v>
      </c>
      <c r="AC234">
        <v>122417</v>
      </c>
      <c r="AD234">
        <v>111584</v>
      </c>
      <c r="AE234">
        <v>101834</v>
      </c>
      <c r="AF234">
        <v>93167</v>
      </c>
      <c r="AG234">
        <v>83417</v>
      </c>
    </row>
    <row r="235" spans="2:33" outlineLevel="1" x14ac:dyDescent="0.2">
      <c r="B235" t="s">
        <v>155</v>
      </c>
      <c r="C235" t="str">
        <f t="shared" si="2"/>
        <v>Sawmill L14</v>
      </c>
      <c r="D235" s="1" t="s">
        <v>157</v>
      </c>
      <c r="E235" s="2">
        <v>14</v>
      </c>
      <c r="F235" s="18">
        <v>1</v>
      </c>
      <c r="G235" s="48">
        <v>145761</v>
      </c>
      <c r="H235" s="48"/>
      <c r="I235" s="49">
        <v>145761</v>
      </c>
      <c r="J235" s="24">
        <v>4555.03125</v>
      </c>
      <c r="K235" s="22">
        <v>2.1953746200972825E-4</v>
      </c>
      <c r="L235" s="53" t="s">
        <v>156</v>
      </c>
      <c r="N235">
        <v>555750</v>
      </c>
      <c r="O235">
        <v>842834</v>
      </c>
      <c r="P235">
        <v>764834</v>
      </c>
      <c r="Q235">
        <v>697667</v>
      </c>
      <c r="R235">
        <v>631584</v>
      </c>
      <c r="S235">
        <v>575250</v>
      </c>
      <c r="T235">
        <v>522167</v>
      </c>
      <c r="U235">
        <v>477750</v>
      </c>
      <c r="V235">
        <v>431167</v>
      </c>
      <c r="W235">
        <v>394334</v>
      </c>
      <c r="X235">
        <v>358584</v>
      </c>
      <c r="Y235">
        <v>326084</v>
      </c>
      <c r="Z235">
        <v>294667</v>
      </c>
      <c r="AA235">
        <v>270834</v>
      </c>
      <c r="AB235">
        <v>245917</v>
      </c>
      <c r="AC235">
        <v>219917</v>
      </c>
      <c r="AD235">
        <v>200417</v>
      </c>
      <c r="AE235">
        <v>183084</v>
      </c>
      <c r="AF235">
        <v>167917</v>
      </c>
      <c r="AG235">
        <v>150584</v>
      </c>
    </row>
    <row r="236" spans="2:33" outlineLevel="1" x14ac:dyDescent="0.2">
      <c r="B236" t="s">
        <v>155</v>
      </c>
      <c r="C236" t="str">
        <f t="shared" si="2"/>
        <v>Sawmill L15</v>
      </c>
      <c r="D236" s="1" t="s">
        <v>157</v>
      </c>
      <c r="E236" s="2">
        <v>15</v>
      </c>
      <c r="F236" s="18">
        <v>1</v>
      </c>
      <c r="G236" s="48">
        <v>262369</v>
      </c>
      <c r="H236" s="48"/>
      <c r="I236" s="49">
        <v>262369</v>
      </c>
      <c r="J236" s="24">
        <v>8199.03125</v>
      </c>
      <c r="K236" s="22">
        <v>1.2196562856130107E-4</v>
      </c>
      <c r="L236" s="53" t="s">
        <v>156</v>
      </c>
      <c r="N236">
        <v>1000350</v>
      </c>
      <c r="O236">
        <v>1516667</v>
      </c>
      <c r="P236">
        <v>1376917</v>
      </c>
      <c r="Q236">
        <v>1255584</v>
      </c>
      <c r="R236">
        <v>1136417</v>
      </c>
      <c r="S236">
        <v>1035667</v>
      </c>
      <c r="T236">
        <v>940334</v>
      </c>
      <c r="U236">
        <v>860167</v>
      </c>
      <c r="V236">
        <v>775667</v>
      </c>
      <c r="W236">
        <v>709584</v>
      </c>
      <c r="X236">
        <v>645667</v>
      </c>
      <c r="Y236">
        <v>587167</v>
      </c>
      <c r="Z236">
        <v>530834</v>
      </c>
      <c r="AA236">
        <v>487500</v>
      </c>
      <c r="AB236">
        <v>443084</v>
      </c>
      <c r="AC236">
        <v>395417</v>
      </c>
      <c r="AD236">
        <v>360750</v>
      </c>
      <c r="AE236">
        <v>329334</v>
      </c>
      <c r="AF236">
        <v>302250</v>
      </c>
      <c r="AG236">
        <v>270834</v>
      </c>
    </row>
    <row r="237" spans="2:33" outlineLevel="1" x14ac:dyDescent="0.2">
      <c r="B237" t="s">
        <v>155</v>
      </c>
      <c r="C237" t="str">
        <f t="shared" si="2"/>
        <v>Sawmill L16</v>
      </c>
      <c r="D237" s="1" t="s">
        <v>157</v>
      </c>
      <c r="E237" s="2">
        <v>16</v>
      </c>
      <c r="F237" s="18">
        <v>1</v>
      </c>
      <c r="G237" s="48">
        <v>472265</v>
      </c>
      <c r="H237" s="48"/>
      <c r="I237" s="49">
        <v>472265</v>
      </c>
      <c r="J237" s="24">
        <v>14758.28125</v>
      </c>
      <c r="K237" s="22">
        <v>6.775856775327412E-5</v>
      </c>
      <c r="L237" s="53" t="s">
        <v>156</v>
      </c>
      <c r="N237">
        <v>1800501</v>
      </c>
      <c r="O237">
        <v>2730000</v>
      </c>
      <c r="P237">
        <v>2478667</v>
      </c>
      <c r="Q237">
        <v>2259834</v>
      </c>
      <c r="R237">
        <v>2045334</v>
      </c>
      <c r="S237">
        <v>1864417</v>
      </c>
      <c r="T237">
        <v>1692167</v>
      </c>
      <c r="U237">
        <v>1548084</v>
      </c>
      <c r="V237">
        <v>1396417</v>
      </c>
      <c r="W237">
        <v>1277250</v>
      </c>
      <c r="X237">
        <v>1162417</v>
      </c>
      <c r="Y237">
        <v>1057334</v>
      </c>
      <c r="Z237">
        <v>955500</v>
      </c>
      <c r="AA237">
        <v>877500</v>
      </c>
      <c r="AB237">
        <v>797334</v>
      </c>
      <c r="AC237">
        <v>711750</v>
      </c>
      <c r="AD237">
        <v>648917</v>
      </c>
      <c r="AE237">
        <v>592584</v>
      </c>
      <c r="AF237">
        <v>543834</v>
      </c>
      <c r="AG237">
        <v>487500</v>
      </c>
    </row>
    <row r="238" spans="2:33" outlineLevel="1" x14ac:dyDescent="0.2">
      <c r="B238" t="s">
        <v>155</v>
      </c>
      <c r="C238" t="str">
        <f t="shared" si="2"/>
        <v>Sawmill L17</v>
      </c>
      <c r="D238" s="1" t="s">
        <v>157</v>
      </c>
      <c r="E238" s="2">
        <v>17</v>
      </c>
      <c r="F238" s="18">
        <v>1</v>
      </c>
      <c r="G238" s="48">
        <v>850077</v>
      </c>
      <c r="H238" s="48"/>
      <c r="I238" s="49">
        <v>850077</v>
      </c>
      <c r="J238" s="24">
        <v>26564.90625</v>
      </c>
      <c r="K238" s="22">
        <v>3.7643648751818954E-5</v>
      </c>
      <c r="L238" s="53" t="s">
        <v>156</v>
      </c>
      <c r="N238">
        <v>3240900</v>
      </c>
      <c r="O238">
        <v>4914000</v>
      </c>
      <c r="P238">
        <v>4461167</v>
      </c>
      <c r="Q238">
        <v>4067917</v>
      </c>
      <c r="R238">
        <v>3681167</v>
      </c>
      <c r="S238">
        <v>3356167</v>
      </c>
      <c r="T238">
        <v>3046334</v>
      </c>
      <c r="U238">
        <v>2786334</v>
      </c>
      <c r="V238">
        <v>2513334</v>
      </c>
      <c r="W238">
        <v>2298834</v>
      </c>
      <c r="X238">
        <v>2091917</v>
      </c>
      <c r="Y238">
        <v>1903417</v>
      </c>
      <c r="Z238">
        <v>1720334</v>
      </c>
      <c r="AA238">
        <v>1579500</v>
      </c>
      <c r="AB238">
        <v>1435417</v>
      </c>
      <c r="AC238">
        <v>1281584</v>
      </c>
      <c r="AD238">
        <v>1167834</v>
      </c>
      <c r="AE238">
        <v>1067084</v>
      </c>
      <c r="AF238">
        <v>979334</v>
      </c>
      <c r="AG238">
        <v>877500</v>
      </c>
    </row>
    <row r="239" spans="2:33" outlineLevel="1" x14ac:dyDescent="0.2">
      <c r="B239" t="s">
        <v>155</v>
      </c>
      <c r="C239" t="str">
        <f t="shared" si="2"/>
        <v>Sawmill L18</v>
      </c>
      <c r="D239" s="1" t="s">
        <v>157</v>
      </c>
      <c r="E239" s="2">
        <v>18</v>
      </c>
      <c r="F239" s="18">
        <v>1</v>
      </c>
      <c r="G239" s="48">
        <v>1530138</v>
      </c>
      <c r="H239" s="48"/>
      <c r="I239" s="49">
        <v>1530138</v>
      </c>
      <c r="J239" s="24">
        <v>47816.8125</v>
      </c>
      <c r="K239" s="22">
        <v>2.0913146395945985E-5</v>
      </c>
      <c r="L239" s="53" t="s">
        <v>156</v>
      </c>
      <c r="N239">
        <v>5833751</v>
      </c>
      <c r="O239">
        <v>8845417</v>
      </c>
      <c r="P239">
        <v>8029667</v>
      </c>
      <c r="Q239">
        <v>7322250</v>
      </c>
      <c r="R239">
        <v>6625667</v>
      </c>
      <c r="S239">
        <v>6040667</v>
      </c>
      <c r="T239">
        <v>5483834</v>
      </c>
      <c r="U239">
        <v>5015834</v>
      </c>
      <c r="V239">
        <v>4524000</v>
      </c>
      <c r="W239">
        <v>4138334</v>
      </c>
      <c r="X239">
        <v>3765667</v>
      </c>
      <c r="Y239">
        <v>3426584</v>
      </c>
      <c r="Z239">
        <v>3096167</v>
      </c>
      <c r="AA239">
        <v>2842667</v>
      </c>
      <c r="AB239">
        <v>2583750</v>
      </c>
      <c r="AC239">
        <v>2306417</v>
      </c>
      <c r="AD239">
        <v>2101667</v>
      </c>
      <c r="AE239">
        <v>1920750</v>
      </c>
      <c r="AF239">
        <v>1762584</v>
      </c>
      <c r="AG239">
        <v>1579500</v>
      </c>
    </row>
    <row r="240" spans="2:33" outlineLevel="1" x14ac:dyDescent="0.2">
      <c r="B240" t="s">
        <v>155</v>
      </c>
      <c r="C240" t="str">
        <f t="shared" si="2"/>
        <v>Sawmill L19</v>
      </c>
      <c r="D240" s="1" t="s">
        <v>157</v>
      </c>
      <c r="E240" s="2">
        <v>19</v>
      </c>
      <c r="F240" s="18">
        <v>1</v>
      </c>
      <c r="G240" s="48">
        <v>2754249</v>
      </c>
      <c r="H240" s="48"/>
      <c r="I240" s="49">
        <v>2754249</v>
      </c>
      <c r="J240" s="24">
        <v>86070.28125</v>
      </c>
      <c r="K240" s="22">
        <v>1.1618412133398251E-5</v>
      </c>
      <c r="L240" s="53" t="s">
        <v>156</v>
      </c>
      <c r="N240">
        <v>10500750</v>
      </c>
      <c r="O240">
        <v>15921750</v>
      </c>
      <c r="P240">
        <v>14453834</v>
      </c>
      <c r="Q240">
        <v>13179834</v>
      </c>
      <c r="R240">
        <v>11926417</v>
      </c>
      <c r="S240">
        <v>10873417</v>
      </c>
      <c r="T240">
        <v>9871334</v>
      </c>
      <c r="U240">
        <v>9028500</v>
      </c>
      <c r="V240">
        <v>8143417</v>
      </c>
      <c r="W240">
        <v>7449000</v>
      </c>
      <c r="X240">
        <v>6778417</v>
      </c>
      <c r="Y240">
        <v>6167417</v>
      </c>
      <c r="Z240">
        <v>5572667</v>
      </c>
      <c r="AA240">
        <v>5116584</v>
      </c>
      <c r="AB240">
        <v>4650750</v>
      </c>
      <c r="AC240">
        <v>4151334</v>
      </c>
      <c r="AD240">
        <v>3783000</v>
      </c>
      <c r="AE240">
        <v>3456917</v>
      </c>
      <c r="AF240">
        <v>3173084</v>
      </c>
      <c r="AG240">
        <v>2842667</v>
      </c>
    </row>
    <row r="241" spans="2:33" outlineLevel="1" x14ac:dyDescent="0.2">
      <c r="B241" t="s">
        <v>155</v>
      </c>
      <c r="C241" t="str">
        <f t="shared" si="2"/>
        <v>Sawmill L20</v>
      </c>
      <c r="D241" s="1" t="s">
        <v>157</v>
      </c>
      <c r="E241" s="2">
        <v>20</v>
      </c>
      <c r="F241" s="18">
        <v>1</v>
      </c>
      <c r="G241" s="48">
        <v>4957647</v>
      </c>
      <c r="H241" s="48"/>
      <c r="I241" s="49">
        <v>4957647</v>
      </c>
      <c r="J241" s="24">
        <v>154926.46875</v>
      </c>
      <c r="K241" s="22">
        <v>6.454674969799181E-6</v>
      </c>
      <c r="L241" s="53" t="s">
        <v>156</v>
      </c>
      <c r="N241">
        <v>18901350</v>
      </c>
      <c r="O241">
        <v>28659584</v>
      </c>
      <c r="P241">
        <v>26017334</v>
      </c>
      <c r="Q241">
        <v>23723917</v>
      </c>
      <c r="R241">
        <v>21467334</v>
      </c>
      <c r="S241">
        <v>19572584</v>
      </c>
      <c r="T241">
        <v>17768834</v>
      </c>
      <c r="U241">
        <v>16251084</v>
      </c>
      <c r="V241">
        <v>14658584</v>
      </c>
      <c r="W241">
        <v>13408417</v>
      </c>
      <c r="X241">
        <v>12201584</v>
      </c>
      <c r="Y241">
        <v>11100917</v>
      </c>
      <c r="Z241">
        <v>10030584</v>
      </c>
      <c r="AA241">
        <v>9209417</v>
      </c>
      <c r="AB241">
        <v>8370917</v>
      </c>
      <c r="AC241">
        <v>7472834</v>
      </c>
      <c r="AD241">
        <v>6809834</v>
      </c>
      <c r="AE241">
        <v>6222667</v>
      </c>
      <c r="AF241">
        <v>5711334</v>
      </c>
      <c r="AG241">
        <v>5116584</v>
      </c>
    </row>
    <row r="242" spans="2:33" s="27" customFormat="1" x14ac:dyDescent="0.2">
      <c r="B242" s="27" t="s">
        <v>155</v>
      </c>
      <c r="C242" s="27" t="str">
        <f t="shared" si="2"/>
        <v>HedgeStatue L1</v>
      </c>
      <c r="D242" s="29" t="s">
        <v>236</v>
      </c>
      <c r="E242" s="30">
        <v>1</v>
      </c>
      <c r="F242" s="31">
        <v>1</v>
      </c>
      <c r="G242" s="54">
        <v>88</v>
      </c>
      <c r="H242" s="54"/>
      <c r="I242" s="47">
        <v>88</v>
      </c>
      <c r="J242" s="33">
        <v>2.75</v>
      </c>
      <c r="K242" s="34">
        <v>0.36363636363636365</v>
      </c>
      <c r="L242" s="35" t="s">
        <v>158</v>
      </c>
      <c r="N242" s="27">
        <v>64</v>
      </c>
      <c r="O242" s="27">
        <v>96</v>
      </c>
      <c r="P242" s="27">
        <v>87</v>
      </c>
      <c r="Q242" s="27">
        <v>80</v>
      </c>
      <c r="R242" s="27">
        <v>72</v>
      </c>
      <c r="S242" s="27">
        <v>65</v>
      </c>
      <c r="T242" s="27">
        <v>46</v>
      </c>
      <c r="U242" s="27">
        <v>32</v>
      </c>
      <c r="V242" s="27">
        <v>22</v>
      </c>
      <c r="W242" s="27">
        <v>16</v>
      </c>
      <c r="X242" s="27">
        <v>11</v>
      </c>
      <c r="Y242" s="27">
        <v>8</v>
      </c>
      <c r="Z242" s="27">
        <v>6</v>
      </c>
      <c r="AA242" s="27">
        <v>5</v>
      </c>
      <c r="AB242" s="27">
        <v>4</v>
      </c>
      <c r="AC242" s="27">
        <v>3</v>
      </c>
      <c r="AD242" s="27">
        <v>2</v>
      </c>
      <c r="AE242" s="27">
        <v>2</v>
      </c>
      <c r="AF242" s="27">
        <v>2</v>
      </c>
      <c r="AG242" s="27">
        <v>2</v>
      </c>
    </row>
    <row r="243" spans="2:33" outlineLevel="1" x14ac:dyDescent="0.2">
      <c r="B243" t="s">
        <v>155</v>
      </c>
      <c r="C243" t="str">
        <f t="shared" si="2"/>
        <v>HedgeStatue L2</v>
      </c>
      <c r="D243" s="1" t="s">
        <v>236</v>
      </c>
      <c r="E243" s="2">
        <v>2</v>
      </c>
      <c r="F243" s="18">
        <v>1</v>
      </c>
      <c r="G243" s="48">
        <v>158</v>
      </c>
      <c r="H243" s="48"/>
      <c r="I243" s="49">
        <v>158</v>
      </c>
      <c r="J243" s="24">
        <v>4.9375</v>
      </c>
      <c r="K243" s="22">
        <v>0.20253164556962025</v>
      </c>
      <c r="L243" s="53" t="s">
        <v>158</v>
      </c>
      <c r="N243">
        <v>140</v>
      </c>
      <c r="O243">
        <v>212</v>
      </c>
      <c r="P243">
        <v>192</v>
      </c>
      <c r="Q243">
        <v>175</v>
      </c>
      <c r="R243">
        <v>159</v>
      </c>
      <c r="S243">
        <v>145</v>
      </c>
      <c r="T243">
        <v>132</v>
      </c>
      <c r="U243">
        <v>120</v>
      </c>
      <c r="V243">
        <v>84</v>
      </c>
      <c r="W243">
        <v>59</v>
      </c>
      <c r="X243">
        <v>42</v>
      </c>
      <c r="Y243">
        <v>30</v>
      </c>
      <c r="Z243">
        <v>21</v>
      </c>
      <c r="AA243">
        <v>15</v>
      </c>
      <c r="AB243">
        <v>10</v>
      </c>
      <c r="AC243">
        <v>7</v>
      </c>
      <c r="AD243">
        <v>5</v>
      </c>
      <c r="AE243">
        <v>4</v>
      </c>
      <c r="AF243">
        <v>3</v>
      </c>
      <c r="AG243">
        <v>2</v>
      </c>
    </row>
    <row r="244" spans="2:33" outlineLevel="1" x14ac:dyDescent="0.2">
      <c r="B244" t="s">
        <v>155</v>
      </c>
      <c r="C244" t="str">
        <f t="shared" si="2"/>
        <v>HedgeStatue L3</v>
      </c>
      <c r="D244" s="1" t="s">
        <v>236</v>
      </c>
      <c r="E244" s="2">
        <v>3</v>
      </c>
      <c r="F244" s="18">
        <v>1</v>
      </c>
      <c r="G244" s="48">
        <v>285</v>
      </c>
      <c r="H244" s="48"/>
      <c r="I244" s="49">
        <v>285</v>
      </c>
      <c r="J244" s="24">
        <v>8.90625</v>
      </c>
      <c r="K244" s="22">
        <v>0.11228070175438597</v>
      </c>
      <c r="L244" s="53" t="s">
        <v>158</v>
      </c>
      <c r="N244">
        <v>306</v>
      </c>
      <c r="O244">
        <v>463</v>
      </c>
      <c r="P244">
        <v>421</v>
      </c>
      <c r="Q244">
        <v>383</v>
      </c>
      <c r="R244">
        <v>348</v>
      </c>
      <c r="S244">
        <v>317</v>
      </c>
      <c r="T244">
        <v>288</v>
      </c>
      <c r="U244">
        <v>262</v>
      </c>
      <c r="V244">
        <v>238</v>
      </c>
      <c r="W244">
        <v>216</v>
      </c>
      <c r="X244">
        <v>151</v>
      </c>
      <c r="Y244">
        <v>106</v>
      </c>
      <c r="Z244">
        <v>74</v>
      </c>
      <c r="AA244">
        <v>52</v>
      </c>
      <c r="AB244">
        <v>37</v>
      </c>
      <c r="AC244">
        <v>26</v>
      </c>
      <c r="AD244">
        <v>19</v>
      </c>
      <c r="AE244">
        <v>13</v>
      </c>
      <c r="AF244">
        <v>9</v>
      </c>
      <c r="AG244">
        <v>7</v>
      </c>
    </row>
    <row r="245" spans="2:33" outlineLevel="1" x14ac:dyDescent="0.2">
      <c r="B245" t="s">
        <v>155</v>
      </c>
      <c r="C245" t="str">
        <f t="shared" si="2"/>
        <v>HedgeStatue L4</v>
      </c>
      <c r="D245" s="1" t="s">
        <v>236</v>
      </c>
      <c r="E245" s="2">
        <v>4</v>
      </c>
      <c r="F245" s="18">
        <v>1</v>
      </c>
      <c r="G245" s="48">
        <v>513</v>
      </c>
      <c r="H245" s="48"/>
      <c r="I245" s="49">
        <v>513</v>
      </c>
      <c r="J245" s="24">
        <v>16.03125</v>
      </c>
      <c r="K245" s="22">
        <v>6.2378167641325533E-2</v>
      </c>
      <c r="L245" s="53" t="s">
        <v>158</v>
      </c>
      <c r="N245">
        <v>612</v>
      </c>
      <c r="O245">
        <v>927</v>
      </c>
      <c r="P245">
        <v>842</v>
      </c>
      <c r="Q245">
        <v>765</v>
      </c>
      <c r="R245">
        <v>696</v>
      </c>
      <c r="S245">
        <v>633</v>
      </c>
      <c r="T245">
        <v>576</v>
      </c>
      <c r="U245">
        <v>524</v>
      </c>
      <c r="V245">
        <v>476</v>
      </c>
      <c r="W245">
        <v>433</v>
      </c>
      <c r="X245">
        <v>394</v>
      </c>
      <c r="Y245">
        <v>276</v>
      </c>
      <c r="Z245">
        <v>193</v>
      </c>
      <c r="AA245">
        <v>136</v>
      </c>
      <c r="AB245">
        <v>96</v>
      </c>
      <c r="AC245">
        <v>68</v>
      </c>
      <c r="AD245">
        <v>47</v>
      </c>
      <c r="AE245">
        <v>33</v>
      </c>
      <c r="AF245">
        <v>23</v>
      </c>
      <c r="AG245">
        <v>17</v>
      </c>
    </row>
    <row r="246" spans="2:33" outlineLevel="1" x14ac:dyDescent="0.2">
      <c r="B246" t="s">
        <v>155</v>
      </c>
      <c r="C246" t="str">
        <f t="shared" si="2"/>
        <v>HedgeStatue L5</v>
      </c>
      <c r="D246" s="1" t="s">
        <v>236</v>
      </c>
      <c r="E246" s="2">
        <v>5</v>
      </c>
      <c r="F246" s="18">
        <v>1</v>
      </c>
      <c r="G246" s="48">
        <v>924</v>
      </c>
      <c r="H246" s="48"/>
      <c r="I246" s="49">
        <v>924</v>
      </c>
      <c r="J246" s="24">
        <v>28.875</v>
      </c>
      <c r="K246" s="22">
        <v>3.4632034632034632E-2</v>
      </c>
      <c r="L246" s="53" t="s">
        <v>158</v>
      </c>
      <c r="N246">
        <v>1349</v>
      </c>
      <c r="O246">
        <v>2043</v>
      </c>
      <c r="P246">
        <v>1857</v>
      </c>
      <c r="Q246">
        <v>1688</v>
      </c>
      <c r="R246">
        <v>1534</v>
      </c>
      <c r="S246">
        <v>1395</v>
      </c>
      <c r="T246">
        <v>1268</v>
      </c>
      <c r="U246">
        <v>1153</v>
      </c>
      <c r="V246">
        <v>1048</v>
      </c>
      <c r="W246">
        <v>953</v>
      </c>
      <c r="X246">
        <v>866</v>
      </c>
      <c r="Y246">
        <v>787</v>
      </c>
      <c r="Z246">
        <v>715</v>
      </c>
      <c r="AA246">
        <v>501</v>
      </c>
      <c r="AB246">
        <v>350</v>
      </c>
      <c r="AC246">
        <v>245</v>
      </c>
      <c r="AD246">
        <v>172</v>
      </c>
      <c r="AE246">
        <v>121</v>
      </c>
      <c r="AF246">
        <v>85</v>
      </c>
      <c r="AG246">
        <v>60</v>
      </c>
    </row>
    <row r="247" spans="2:33" outlineLevel="1" x14ac:dyDescent="0.2">
      <c r="B247" t="s">
        <v>155</v>
      </c>
      <c r="C247" t="str">
        <f t="shared" si="2"/>
        <v>HedgeStatue L6</v>
      </c>
      <c r="D247" s="1" t="s">
        <v>236</v>
      </c>
      <c r="E247" s="2">
        <v>6</v>
      </c>
      <c r="F247" s="18">
        <v>1</v>
      </c>
      <c r="G247" s="48">
        <v>1663</v>
      </c>
      <c r="H247" s="48"/>
      <c r="I247" s="49">
        <v>1663</v>
      </c>
      <c r="J247" s="24">
        <v>51.96875</v>
      </c>
      <c r="K247" s="22">
        <v>1.9242333132892364E-2</v>
      </c>
      <c r="L247" s="53" t="s">
        <v>158</v>
      </c>
      <c r="N247">
        <v>2963</v>
      </c>
      <c r="O247">
        <v>4489</v>
      </c>
      <c r="P247">
        <v>4080</v>
      </c>
      <c r="Q247">
        <v>3710</v>
      </c>
      <c r="R247">
        <v>3373</v>
      </c>
      <c r="S247">
        <v>3066</v>
      </c>
      <c r="T247">
        <v>2788</v>
      </c>
      <c r="U247">
        <v>2534</v>
      </c>
      <c r="V247">
        <v>2304</v>
      </c>
      <c r="W247">
        <v>2095</v>
      </c>
      <c r="X247">
        <v>1904</v>
      </c>
      <c r="Y247">
        <v>1731</v>
      </c>
      <c r="Z247">
        <v>1573</v>
      </c>
      <c r="AA247">
        <v>1430</v>
      </c>
      <c r="AB247">
        <v>1300</v>
      </c>
      <c r="AC247">
        <v>910</v>
      </c>
      <c r="AD247">
        <v>637</v>
      </c>
      <c r="AE247">
        <v>447</v>
      </c>
      <c r="AF247">
        <v>312</v>
      </c>
      <c r="AG247">
        <v>219</v>
      </c>
    </row>
    <row r="248" spans="2:33" outlineLevel="1" x14ac:dyDescent="0.2">
      <c r="B248" t="s">
        <v>155</v>
      </c>
      <c r="C248" t="str">
        <f t="shared" si="2"/>
        <v>HedgeStatue L7</v>
      </c>
      <c r="D248" s="1" t="s">
        <v>236</v>
      </c>
      <c r="E248" s="2">
        <v>7</v>
      </c>
      <c r="F248" s="18">
        <v>1</v>
      </c>
      <c r="G248" s="48">
        <v>2993</v>
      </c>
      <c r="H248" s="48"/>
      <c r="I248" s="49">
        <v>2993</v>
      </c>
      <c r="J248" s="24">
        <v>93.53125</v>
      </c>
      <c r="K248" s="22">
        <v>1.0691613765452723E-2</v>
      </c>
      <c r="L248" s="53" t="s">
        <v>158</v>
      </c>
      <c r="N248">
        <v>5933</v>
      </c>
      <c r="O248">
        <v>8989</v>
      </c>
      <c r="P248">
        <v>8172</v>
      </c>
      <c r="Q248">
        <v>7429</v>
      </c>
      <c r="R248">
        <v>6754</v>
      </c>
      <c r="S248">
        <v>6140</v>
      </c>
      <c r="T248">
        <v>5582</v>
      </c>
      <c r="U248">
        <v>5075</v>
      </c>
      <c r="V248">
        <v>4613</v>
      </c>
      <c r="W248">
        <v>4194</v>
      </c>
      <c r="X248">
        <v>3813</v>
      </c>
      <c r="Y248">
        <v>3466</v>
      </c>
      <c r="Z248">
        <v>3151</v>
      </c>
      <c r="AA248">
        <v>2865</v>
      </c>
      <c r="AB248">
        <v>2605</v>
      </c>
      <c r="AC248">
        <v>2368</v>
      </c>
      <c r="AD248">
        <v>1658</v>
      </c>
      <c r="AE248">
        <v>1161</v>
      </c>
      <c r="AF248">
        <v>813</v>
      </c>
      <c r="AG248">
        <v>569</v>
      </c>
    </row>
    <row r="249" spans="2:33" outlineLevel="1" x14ac:dyDescent="0.2">
      <c r="B249" t="s">
        <v>155</v>
      </c>
      <c r="C249" t="str">
        <f t="shared" si="2"/>
        <v>HedgeStatue L8</v>
      </c>
      <c r="D249" s="1" t="s">
        <v>236</v>
      </c>
      <c r="E249" s="2">
        <v>8</v>
      </c>
      <c r="F249" s="18">
        <v>1</v>
      </c>
      <c r="G249" s="48">
        <v>5388</v>
      </c>
      <c r="H249" s="48"/>
      <c r="I249" s="49">
        <v>5388</v>
      </c>
      <c r="J249" s="24">
        <v>168.375</v>
      </c>
      <c r="K249" s="22">
        <v>5.9391239792130658E-3</v>
      </c>
      <c r="L249" s="53" t="s">
        <v>158</v>
      </c>
      <c r="N249">
        <v>11885</v>
      </c>
      <c r="O249">
        <v>18007</v>
      </c>
      <c r="P249">
        <v>16370</v>
      </c>
      <c r="Q249">
        <v>14881</v>
      </c>
      <c r="R249">
        <v>13528</v>
      </c>
      <c r="S249">
        <v>12298</v>
      </c>
      <c r="T249">
        <v>11180</v>
      </c>
      <c r="U249">
        <v>10164</v>
      </c>
      <c r="V249">
        <v>9240</v>
      </c>
      <c r="W249">
        <v>8401</v>
      </c>
      <c r="X249">
        <v>7637</v>
      </c>
      <c r="Y249">
        <v>6942</v>
      </c>
      <c r="Z249">
        <v>6311</v>
      </c>
      <c r="AA249">
        <v>5737</v>
      </c>
      <c r="AB249">
        <v>5216</v>
      </c>
      <c r="AC249">
        <v>4741</v>
      </c>
      <c r="AD249">
        <v>4310</v>
      </c>
      <c r="AE249">
        <v>3018</v>
      </c>
      <c r="AF249">
        <v>2113</v>
      </c>
      <c r="AG249">
        <v>1479</v>
      </c>
    </row>
    <row r="250" spans="2:33" outlineLevel="1" x14ac:dyDescent="0.2">
      <c r="B250" t="s">
        <v>155</v>
      </c>
      <c r="C250" t="str">
        <f t="shared" si="2"/>
        <v>HedgeStatue L9</v>
      </c>
      <c r="D250" s="1" t="s">
        <v>236</v>
      </c>
      <c r="E250" s="2">
        <v>9</v>
      </c>
      <c r="F250" s="18">
        <v>1</v>
      </c>
      <c r="G250" s="48">
        <v>9698</v>
      </c>
      <c r="H250" s="48"/>
      <c r="I250" s="49">
        <v>9698</v>
      </c>
      <c r="J250" s="24">
        <v>303.0625</v>
      </c>
      <c r="K250" s="22">
        <v>3.2996494122499486E-3</v>
      </c>
      <c r="L250" s="53" t="s">
        <v>158</v>
      </c>
      <c r="N250">
        <v>23793</v>
      </c>
      <c r="O250">
        <v>36048</v>
      </c>
      <c r="P250">
        <v>32771</v>
      </c>
      <c r="Q250">
        <v>29792</v>
      </c>
      <c r="R250">
        <v>27084</v>
      </c>
      <c r="S250">
        <v>24621</v>
      </c>
      <c r="T250">
        <v>22383</v>
      </c>
      <c r="U250">
        <v>20349</v>
      </c>
      <c r="V250">
        <v>18498</v>
      </c>
      <c r="W250">
        <v>16817</v>
      </c>
      <c r="X250">
        <v>15288</v>
      </c>
      <c r="Y250">
        <v>13899</v>
      </c>
      <c r="Z250">
        <v>12635</v>
      </c>
      <c r="AA250">
        <v>11487</v>
      </c>
      <c r="AB250">
        <v>10443</v>
      </c>
      <c r="AC250">
        <v>9494</v>
      </c>
      <c r="AD250">
        <v>8630</v>
      </c>
      <c r="AE250">
        <v>7846</v>
      </c>
      <c r="AF250">
        <v>5492</v>
      </c>
      <c r="AG250">
        <v>3844</v>
      </c>
    </row>
    <row r="251" spans="2:33" outlineLevel="1" x14ac:dyDescent="0.2">
      <c r="B251" t="s">
        <v>155</v>
      </c>
      <c r="C251" t="str">
        <f t="shared" si="2"/>
        <v>HedgeStatue L10</v>
      </c>
      <c r="D251" s="1" t="s">
        <v>236</v>
      </c>
      <c r="E251" s="2">
        <v>10</v>
      </c>
      <c r="F251" s="18">
        <v>1</v>
      </c>
      <c r="G251" s="48">
        <v>17456</v>
      </c>
      <c r="H251" s="48"/>
      <c r="I251" s="49">
        <v>17456</v>
      </c>
      <c r="J251" s="24">
        <v>545.5</v>
      </c>
      <c r="K251" s="22">
        <v>1.8331805682859762E-3</v>
      </c>
      <c r="L251" s="53" t="s">
        <v>158</v>
      </c>
      <c r="N251">
        <v>47641</v>
      </c>
      <c r="O251">
        <v>72183</v>
      </c>
      <c r="P251">
        <v>65621</v>
      </c>
      <c r="Q251">
        <v>59655</v>
      </c>
      <c r="R251">
        <v>54232</v>
      </c>
      <c r="S251">
        <v>49302</v>
      </c>
      <c r="T251">
        <v>44820</v>
      </c>
      <c r="U251">
        <v>40746</v>
      </c>
      <c r="V251">
        <v>37042</v>
      </c>
      <c r="W251">
        <v>33675</v>
      </c>
      <c r="X251">
        <v>30613</v>
      </c>
      <c r="Y251">
        <v>27830</v>
      </c>
      <c r="Z251">
        <v>25301</v>
      </c>
      <c r="AA251">
        <v>23001</v>
      </c>
      <c r="AB251">
        <v>20910</v>
      </c>
      <c r="AC251">
        <v>19009</v>
      </c>
      <c r="AD251">
        <v>17281</v>
      </c>
      <c r="AE251">
        <v>15710</v>
      </c>
      <c r="AF251">
        <v>14282</v>
      </c>
      <c r="AG251">
        <v>9997</v>
      </c>
    </row>
    <row r="252" spans="2:33" outlineLevel="1" x14ac:dyDescent="0.2">
      <c r="B252" t="s">
        <v>155</v>
      </c>
      <c r="C252" t="str">
        <f t="shared" si="2"/>
        <v>HedgeStatue L11</v>
      </c>
      <c r="D252" s="1" t="s">
        <v>236</v>
      </c>
      <c r="E252" s="2">
        <v>11</v>
      </c>
      <c r="F252" s="18">
        <v>1</v>
      </c>
      <c r="G252" s="48">
        <v>31420</v>
      </c>
      <c r="H252" s="48"/>
      <c r="I252" s="49">
        <v>31420</v>
      </c>
      <c r="J252" s="24">
        <v>981.875</v>
      </c>
      <c r="K252" s="22">
        <v>1.0184595798854233E-3</v>
      </c>
      <c r="L252" s="53" t="s">
        <v>158</v>
      </c>
      <c r="N252">
        <v>95410</v>
      </c>
      <c r="O252">
        <v>144560</v>
      </c>
      <c r="P252">
        <v>131419</v>
      </c>
      <c r="Q252">
        <v>119472</v>
      </c>
      <c r="R252">
        <v>108610</v>
      </c>
      <c r="S252">
        <v>98737</v>
      </c>
      <c r="T252">
        <v>89760</v>
      </c>
      <c r="U252">
        <v>81600</v>
      </c>
      <c r="V252">
        <v>74182</v>
      </c>
      <c r="W252">
        <v>67438</v>
      </c>
      <c r="X252">
        <v>61307</v>
      </c>
      <c r="Y252">
        <v>55734</v>
      </c>
      <c r="Z252">
        <v>50667</v>
      </c>
      <c r="AA252">
        <v>46061</v>
      </c>
      <c r="AB252">
        <v>41873</v>
      </c>
      <c r="AC252">
        <v>38067</v>
      </c>
      <c r="AD252">
        <v>34606</v>
      </c>
      <c r="AE252">
        <v>31460</v>
      </c>
      <c r="AF252">
        <v>28600</v>
      </c>
      <c r="AG252">
        <v>26000</v>
      </c>
    </row>
    <row r="253" spans="2:33" outlineLevel="1" x14ac:dyDescent="0.2">
      <c r="B253" t="s">
        <v>155</v>
      </c>
      <c r="C253" t="str">
        <f t="shared" si="2"/>
        <v>HedgeStatue L12</v>
      </c>
      <c r="D253" s="1" t="s">
        <v>236</v>
      </c>
      <c r="E253" s="2">
        <v>12</v>
      </c>
      <c r="F253" s="18">
        <v>1</v>
      </c>
      <c r="G253" s="48">
        <v>56556</v>
      </c>
      <c r="H253" s="48"/>
      <c r="I253" s="49">
        <v>56556</v>
      </c>
      <c r="J253" s="24">
        <v>1767.375</v>
      </c>
      <c r="K253" s="22">
        <v>5.6581087771412407E-4</v>
      </c>
      <c r="L253" s="53" t="s">
        <v>158</v>
      </c>
      <c r="N253">
        <v>171600</v>
      </c>
      <c r="O253">
        <v>260000</v>
      </c>
      <c r="P253">
        <v>236167</v>
      </c>
      <c r="Q253">
        <v>215584</v>
      </c>
      <c r="R253">
        <v>195000</v>
      </c>
      <c r="S253">
        <v>177667</v>
      </c>
      <c r="T253">
        <v>161417</v>
      </c>
      <c r="U253">
        <v>147334</v>
      </c>
      <c r="V253">
        <v>133250</v>
      </c>
      <c r="W253">
        <v>121334</v>
      </c>
      <c r="X253">
        <v>110500</v>
      </c>
      <c r="Y253">
        <v>100750</v>
      </c>
      <c r="Z253">
        <v>91000</v>
      </c>
      <c r="AA253">
        <v>83417</v>
      </c>
      <c r="AB253">
        <v>75834</v>
      </c>
      <c r="AC253">
        <v>68250</v>
      </c>
      <c r="AD253">
        <v>61750</v>
      </c>
      <c r="AE253">
        <v>56334</v>
      </c>
      <c r="AF253">
        <v>52000</v>
      </c>
      <c r="AG253">
        <v>46584</v>
      </c>
    </row>
    <row r="254" spans="2:33" outlineLevel="1" x14ac:dyDescent="0.2">
      <c r="B254" t="s">
        <v>155</v>
      </c>
      <c r="C254" t="str">
        <f t="shared" si="2"/>
        <v>HedgeStatue L13</v>
      </c>
      <c r="D254" s="1" t="s">
        <v>236</v>
      </c>
      <c r="E254" s="2">
        <v>13</v>
      </c>
      <c r="F254" s="18">
        <v>1</v>
      </c>
      <c r="G254" s="48">
        <v>101801</v>
      </c>
      <c r="H254" s="48"/>
      <c r="I254" s="49">
        <v>101801</v>
      </c>
      <c r="J254" s="24">
        <v>3181.28125</v>
      </c>
      <c r="K254" s="22">
        <v>3.1433875895128734E-4</v>
      </c>
      <c r="L254" s="53" t="s">
        <v>158</v>
      </c>
      <c r="N254">
        <v>308751</v>
      </c>
      <c r="O254">
        <v>468000</v>
      </c>
      <c r="P254">
        <v>424667</v>
      </c>
      <c r="Q254">
        <v>387834</v>
      </c>
      <c r="R254">
        <v>351000</v>
      </c>
      <c r="S254">
        <v>319584</v>
      </c>
      <c r="T254">
        <v>290334</v>
      </c>
      <c r="U254">
        <v>265417</v>
      </c>
      <c r="V254">
        <v>239417</v>
      </c>
      <c r="W254">
        <v>218834</v>
      </c>
      <c r="X254">
        <v>199334</v>
      </c>
      <c r="Y254">
        <v>180917</v>
      </c>
      <c r="Z254">
        <v>163584</v>
      </c>
      <c r="AA254">
        <v>150584</v>
      </c>
      <c r="AB254">
        <v>136500</v>
      </c>
      <c r="AC254">
        <v>122417</v>
      </c>
      <c r="AD254">
        <v>111584</v>
      </c>
      <c r="AE254">
        <v>101834</v>
      </c>
      <c r="AF254">
        <v>93167</v>
      </c>
      <c r="AG254">
        <v>83417</v>
      </c>
    </row>
    <row r="255" spans="2:33" outlineLevel="1" x14ac:dyDescent="0.2">
      <c r="B255" t="s">
        <v>155</v>
      </c>
      <c r="C255" t="str">
        <f t="shared" si="2"/>
        <v>HedgeStatue L14</v>
      </c>
      <c r="D255" s="1" t="s">
        <v>236</v>
      </c>
      <c r="E255" s="2">
        <v>14</v>
      </c>
      <c r="F255" s="18">
        <v>1</v>
      </c>
      <c r="G255" s="48">
        <v>183242</v>
      </c>
      <c r="H255" s="48"/>
      <c r="I255" s="49">
        <v>183242</v>
      </c>
      <c r="J255" s="24">
        <v>5726.3125</v>
      </c>
      <c r="K255" s="22">
        <v>1.7463245325853244E-4</v>
      </c>
      <c r="L255" s="53" t="s">
        <v>158</v>
      </c>
      <c r="N255">
        <v>555750</v>
      </c>
      <c r="O255">
        <v>842834</v>
      </c>
      <c r="P255">
        <v>764834</v>
      </c>
      <c r="Q255">
        <v>697667</v>
      </c>
      <c r="R255">
        <v>631584</v>
      </c>
      <c r="S255">
        <v>575250</v>
      </c>
      <c r="T255">
        <v>522167</v>
      </c>
      <c r="U255">
        <v>477750</v>
      </c>
      <c r="V255">
        <v>431167</v>
      </c>
      <c r="W255">
        <v>394334</v>
      </c>
      <c r="X255">
        <v>358584</v>
      </c>
      <c r="Y255">
        <v>326084</v>
      </c>
      <c r="Z255">
        <v>294667</v>
      </c>
      <c r="AA255">
        <v>270834</v>
      </c>
      <c r="AB255">
        <v>245917</v>
      </c>
      <c r="AC255">
        <v>219917</v>
      </c>
      <c r="AD255">
        <v>200417</v>
      </c>
      <c r="AE255">
        <v>183084</v>
      </c>
      <c r="AF255">
        <v>167917</v>
      </c>
      <c r="AG255">
        <v>150584</v>
      </c>
    </row>
    <row r="256" spans="2:33" outlineLevel="1" x14ac:dyDescent="0.2">
      <c r="B256" t="s">
        <v>155</v>
      </c>
      <c r="C256" t="str">
        <f t="shared" si="2"/>
        <v>HedgeStatue L15</v>
      </c>
      <c r="D256" s="1" t="s">
        <v>236</v>
      </c>
      <c r="E256" s="2">
        <v>15</v>
      </c>
      <c r="F256" s="18">
        <v>1</v>
      </c>
      <c r="G256" s="48">
        <v>329836</v>
      </c>
      <c r="H256" s="48"/>
      <c r="I256" s="49">
        <v>329836</v>
      </c>
      <c r="J256" s="24">
        <v>10307.375</v>
      </c>
      <c r="K256" s="22">
        <v>9.7017911931990448E-5</v>
      </c>
      <c r="L256" s="53" t="s">
        <v>158</v>
      </c>
      <c r="N256">
        <v>1000350</v>
      </c>
      <c r="O256">
        <v>1516667</v>
      </c>
      <c r="P256">
        <v>1376917</v>
      </c>
      <c r="Q256">
        <v>1255584</v>
      </c>
      <c r="R256">
        <v>1136417</v>
      </c>
      <c r="S256">
        <v>1035667</v>
      </c>
      <c r="T256">
        <v>940334</v>
      </c>
      <c r="U256">
        <v>860167</v>
      </c>
      <c r="V256">
        <v>775667</v>
      </c>
      <c r="W256">
        <v>709584</v>
      </c>
      <c r="X256">
        <v>645667</v>
      </c>
      <c r="Y256">
        <v>587167</v>
      </c>
      <c r="Z256">
        <v>530834</v>
      </c>
      <c r="AA256">
        <v>487500</v>
      </c>
      <c r="AB256">
        <v>443084</v>
      </c>
      <c r="AC256">
        <v>395417</v>
      </c>
      <c r="AD256">
        <v>360750</v>
      </c>
      <c r="AE256">
        <v>329334</v>
      </c>
      <c r="AF256">
        <v>302250</v>
      </c>
      <c r="AG256">
        <v>270834</v>
      </c>
    </row>
    <row r="257" spans="2:33" outlineLevel="1" x14ac:dyDescent="0.2">
      <c r="B257" t="s">
        <v>155</v>
      </c>
      <c r="C257" t="str">
        <f t="shared" si="2"/>
        <v>HedgeStatue L16</v>
      </c>
      <c r="D257" s="1" t="s">
        <v>236</v>
      </c>
      <c r="E257" s="2">
        <v>16</v>
      </c>
      <c r="F257" s="18">
        <v>1</v>
      </c>
      <c r="G257" s="48">
        <v>593704</v>
      </c>
      <c r="H257" s="48"/>
      <c r="I257" s="49">
        <v>593704</v>
      </c>
      <c r="J257" s="24">
        <v>18553.25</v>
      </c>
      <c r="K257" s="22">
        <v>5.3898912589438511E-5</v>
      </c>
      <c r="L257" s="53" t="s">
        <v>158</v>
      </c>
      <c r="N257">
        <v>1800501</v>
      </c>
      <c r="O257">
        <v>2730000</v>
      </c>
      <c r="P257">
        <v>2478667</v>
      </c>
      <c r="Q257">
        <v>2259834</v>
      </c>
      <c r="R257">
        <v>2045334</v>
      </c>
      <c r="S257">
        <v>1864417</v>
      </c>
      <c r="T257">
        <v>1692167</v>
      </c>
      <c r="U257">
        <v>1548084</v>
      </c>
      <c r="V257">
        <v>1396417</v>
      </c>
      <c r="W257">
        <v>1277250</v>
      </c>
      <c r="X257">
        <v>1162417</v>
      </c>
      <c r="Y257">
        <v>1057334</v>
      </c>
      <c r="Z257">
        <v>955500</v>
      </c>
      <c r="AA257">
        <v>877500</v>
      </c>
      <c r="AB257">
        <v>797334</v>
      </c>
      <c r="AC257">
        <v>711750</v>
      </c>
      <c r="AD257">
        <v>648917</v>
      </c>
      <c r="AE257">
        <v>592584</v>
      </c>
      <c r="AF257">
        <v>543834</v>
      </c>
      <c r="AG257">
        <v>487500</v>
      </c>
    </row>
    <row r="258" spans="2:33" outlineLevel="1" x14ac:dyDescent="0.2">
      <c r="B258" t="s">
        <v>155</v>
      </c>
      <c r="C258" t="str">
        <f t="shared" si="2"/>
        <v>HedgeStatue L17</v>
      </c>
      <c r="D258" s="1" t="s">
        <v>236</v>
      </c>
      <c r="E258" s="2">
        <v>17</v>
      </c>
      <c r="F258" s="18">
        <v>1</v>
      </c>
      <c r="G258" s="48">
        <v>1068668</v>
      </c>
      <c r="H258" s="48"/>
      <c r="I258" s="49">
        <v>1068668</v>
      </c>
      <c r="J258" s="24">
        <v>33395.875</v>
      </c>
      <c r="K258" s="22">
        <v>2.9943817911643278E-5</v>
      </c>
      <c r="L258" s="53" t="s">
        <v>158</v>
      </c>
      <c r="N258">
        <v>3240900</v>
      </c>
      <c r="O258">
        <v>4914000</v>
      </c>
      <c r="P258">
        <v>4461167</v>
      </c>
      <c r="Q258">
        <v>4067917</v>
      </c>
      <c r="R258">
        <v>3681167</v>
      </c>
      <c r="S258">
        <v>3356167</v>
      </c>
      <c r="T258">
        <v>3046334</v>
      </c>
      <c r="U258">
        <v>2786334</v>
      </c>
      <c r="V258">
        <v>2513334</v>
      </c>
      <c r="W258">
        <v>2298834</v>
      </c>
      <c r="X258">
        <v>2091917</v>
      </c>
      <c r="Y258">
        <v>1903417</v>
      </c>
      <c r="Z258">
        <v>1720334</v>
      </c>
      <c r="AA258">
        <v>1579500</v>
      </c>
      <c r="AB258">
        <v>1435417</v>
      </c>
      <c r="AC258">
        <v>1281584</v>
      </c>
      <c r="AD258">
        <v>1167834</v>
      </c>
      <c r="AE258">
        <v>1067084</v>
      </c>
      <c r="AF258">
        <v>979334</v>
      </c>
      <c r="AG258">
        <v>877500</v>
      </c>
    </row>
    <row r="259" spans="2:33" outlineLevel="1" x14ac:dyDescent="0.2">
      <c r="B259" t="s">
        <v>155</v>
      </c>
      <c r="C259" t="str">
        <f t="shared" si="2"/>
        <v>HedgeStatue L18</v>
      </c>
      <c r="D259" s="1" t="s">
        <v>236</v>
      </c>
      <c r="E259" s="2">
        <v>18</v>
      </c>
      <c r="F259" s="18">
        <v>1</v>
      </c>
      <c r="G259" s="48">
        <v>1923602</v>
      </c>
      <c r="H259" s="48"/>
      <c r="I259" s="49">
        <v>1923602</v>
      </c>
      <c r="J259" s="24">
        <v>60112.5625</v>
      </c>
      <c r="K259" s="22">
        <v>1.6635457854587383E-5</v>
      </c>
      <c r="L259" s="53" t="s">
        <v>158</v>
      </c>
      <c r="N259">
        <v>5833751</v>
      </c>
      <c r="O259">
        <v>8845417</v>
      </c>
      <c r="P259">
        <v>8029667</v>
      </c>
      <c r="Q259">
        <v>7322250</v>
      </c>
      <c r="R259">
        <v>6625667</v>
      </c>
      <c r="S259">
        <v>6040667</v>
      </c>
      <c r="T259">
        <v>5483834</v>
      </c>
      <c r="U259">
        <v>5015834</v>
      </c>
      <c r="V259">
        <v>4524000</v>
      </c>
      <c r="W259">
        <v>4138334</v>
      </c>
      <c r="X259">
        <v>3765667</v>
      </c>
      <c r="Y259">
        <v>3426584</v>
      </c>
      <c r="Z259">
        <v>3096167</v>
      </c>
      <c r="AA259">
        <v>2842667</v>
      </c>
      <c r="AB259">
        <v>2583750</v>
      </c>
      <c r="AC259">
        <v>2306417</v>
      </c>
      <c r="AD259">
        <v>2101667</v>
      </c>
      <c r="AE259">
        <v>1920750</v>
      </c>
      <c r="AF259">
        <v>1762584</v>
      </c>
      <c r="AG259">
        <v>1579500</v>
      </c>
    </row>
    <row r="260" spans="2:33" outlineLevel="1" x14ac:dyDescent="0.2">
      <c r="B260" t="s">
        <v>155</v>
      </c>
      <c r="C260" t="str">
        <f t="shared" si="2"/>
        <v>HedgeStatue L19</v>
      </c>
      <c r="D260" s="1" t="s">
        <v>236</v>
      </c>
      <c r="E260" s="2">
        <v>19</v>
      </c>
      <c r="F260" s="18">
        <v>1</v>
      </c>
      <c r="G260" s="48">
        <v>3462484</v>
      </c>
      <c r="H260" s="48"/>
      <c r="I260" s="49">
        <v>3462484</v>
      </c>
      <c r="J260" s="24">
        <v>108202.625</v>
      </c>
      <c r="K260" s="22">
        <v>9.2419199626626438E-6</v>
      </c>
      <c r="L260" s="53" t="s">
        <v>158</v>
      </c>
      <c r="N260">
        <v>10500750</v>
      </c>
      <c r="O260">
        <v>15921750</v>
      </c>
      <c r="P260">
        <v>14453834</v>
      </c>
      <c r="Q260">
        <v>13179834</v>
      </c>
      <c r="R260">
        <v>11926417</v>
      </c>
      <c r="S260">
        <v>10873417</v>
      </c>
      <c r="T260">
        <v>9871334</v>
      </c>
      <c r="U260">
        <v>9028500</v>
      </c>
      <c r="V260">
        <v>8143417</v>
      </c>
      <c r="W260">
        <v>7449000</v>
      </c>
      <c r="X260">
        <v>6778417</v>
      </c>
      <c r="Y260">
        <v>6167417</v>
      </c>
      <c r="Z260">
        <v>5572667</v>
      </c>
      <c r="AA260">
        <v>5116584</v>
      </c>
      <c r="AB260">
        <v>4650750</v>
      </c>
      <c r="AC260">
        <v>4151334</v>
      </c>
      <c r="AD260">
        <v>3783000</v>
      </c>
      <c r="AE260">
        <v>3456917</v>
      </c>
      <c r="AF260">
        <v>3173084</v>
      </c>
      <c r="AG260">
        <v>2842667</v>
      </c>
    </row>
    <row r="261" spans="2:33" s="37" customFormat="1" outlineLevel="1" x14ac:dyDescent="0.2">
      <c r="B261" s="37" t="s">
        <v>155</v>
      </c>
      <c r="C261" s="37" t="str">
        <f t="shared" si="2"/>
        <v>HedgeStatue L20</v>
      </c>
      <c r="D261" s="38" t="s">
        <v>236</v>
      </c>
      <c r="E261" s="39">
        <v>20</v>
      </c>
      <c r="F261" s="40">
        <v>1</v>
      </c>
      <c r="G261" s="51">
        <v>6232471</v>
      </c>
      <c r="H261" s="51"/>
      <c r="I261" s="52">
        <v>6232471</v>
      </c>
      <c r="J261" s="42">
        <v>194764.71875</v>
      </c>
      <c r="K261" s="43">
        <v>5.1344001440199239E-6</v>
      </c>
      <c r="L261" s="55" t="s">
        <v>158</v>
      </c>
      <c r="N261" s="37">
        <v>18901350</v>
      </c>
      <c r="O261" s="37">
        <v>28659584</v>
      </c>
      <c r="P261" s="37">
        <v>26017334</v>
      </c>
      <c r="Q261" s="37">
        <v>23723917</v>
      </c>
      <c r="R261" s="37">
        <v>21467334</v>
      </c>
      <c r="S261" s="37">
        <v>19572584</v>
      </c>
      <c r="T261" s="37">
        <v>17768834</v>
      </c>
      <c r="U261" s="37">
        <v>16251084</v>
      </c>
      <c r="V261" s="37">
        <v>14658584</v>
      </c>
      <c r="W261" s="37">
        <v>13408417</v>
      </c>
      <c r="X261" s="37">
        <v>12201584</v>
      </c>
      <c r="Y261" s="37">
        <v>11100917</v>
      </c>
      <c r="Z261" s="37">
        <v>10030584</v>
      </c>
      <c r="AA261" s="37">
        <v>9209417</v>
      </c>
      <c r="AB261" s="37">
        <v>8370917</v>
      </c>
      <c r="AC261" s="37">
        <v>7472834</v>
      </c>
      <c r="AD261" s="37">
        <v>6809834</v>
      </c>
      <c r="AE261" s="37">
        <v>6222667</v>
      </c>
      <c r="AF261" s="37">
        <v>5711334</v>
      </c>
      <c r="AG261" s="37">
        <v>5116584</v>
      </c>
    </row>
    <row r="262" spans="2:33" x14ac:dyDescent="0.2">
      <c r="B262" t="s">
        <v>155</v>
      </c>
      <c r="C262" t="str">
        <f t="shared" si="2"/>
        <v>CrystalFountain L1</v>
      </c>
      <c r="D262" s="1" t="s">
        <v>237</v>
      </c>
      <c r="E262" s="2">
        <v>1</v>
      </c>
      <c r="F262" s="18">
        <v>1</v>
      </c>
      <c r="G262" s="50">
        <v>105</v>
      </c>
      <c r="H262" s="50"/>
      <c r="I262" s="49">
        <v>105</v>
      </c>
      <c r="J262" s="24">
        <v>3.28125</v>
      </c>
      <c r="K262" s="22">
        <v>0.30476190476190479</v>
      </c>
      <c r="L262" s="5" t="s">
        <v>159</v>
      </c>
      <c r="N262">
        <v>64</v>
      </c>
      <c r="O262">
        <v>96</v>
      </c>
      <c r="P262">
        <v>87</v>
      </c>
      <c r="Q262">
        <v>80</v>
      </c>
      <c r="R262">
        <v>72</v>
      </c>
      <c r="S262">
        <v>65</v>
      </c>
      <c r="T262">
        <v>46</v>
      </c>
      <c r="U262">
        <v>32</v>
      </c>
      <c r="V262">
        <v>22</v>
      </c>
      <c r="W262">
        <v>16</v>
      </c>
      <c r="X262">
        <v>11</v>
      </c>
      <c r="Y262">
        <v>8</v>
      </c>
      <c r="Z262">
        <v>6</v>
      </c>
      <c r="AA262">
        <v>5</v>
      </c>
      <c r="AB262">
        <v>4</v>
      </c>
      <c r="AC262">
        <v>3</v>
      </c>
      <c r="AD262">
        <v>2</v>
      </c>
      <c r="AE262">
        <v>2</v>
      </c>
      <c r="AF262">
        <v>2</v>
      </c>
      <c r="AG262">
        <v>2</v>
      </c>
    </row>
    <row r="263" spans="2:33" outlineLevel="1" x14ac:dyDescent="0.2">
      <c r="B263" t="s">
        <v>155</v>
      </c>
      <c r="C263" t="str">
        <f t="shared" si="2"/>
        <v>CrystalFountain L2</v>
      </c>
      <c r="D263" s="1" t="s">
        <v>237</v>
      </c>
      <c r="E263" s="2">
        <v>2</v>
      </c>
      <c r="F263" s="18">
        <v>1</v>
      </c>
      <c r="G263" s="48">
        <v>189</v>
      </c>
      <c r="H263" s="48"/>
      <c r="I263" s="49">
        <v>189</v>
      </c>
      <c r="J263" s="24">
        <v>5.90625</v>
      </c>
      <c r="K263" s="22">
        <v>0.1693121693121693</v>
      </c>
      <c r="L263" s="53" t="s">
        <v>159</v>
      </c>
      <c r="N263">
        <v>140</v>
      </c>
      <c r="O263">
        <v>212</v>
      </c>
      <c r="P263">
        <v>192</v>
      </c>
      <c r="Q263">
        <v>175</v>
      </c>
      <c r="R263">
        <v>159</v>
      </c>
      <c r="S263">
        <v>145</v>
      </c>
      <c r="T263">
        <v>132</v>
      </c>
      <c r="U263">
        <v>120</v>
      </c>
      <c r="V263">
        <v>84</v>
      </c>
      <c r="W263">
        <v>59</v>
      </c>
      <c r="X263">
        <v>42</v>
      </c>
      <c r="Y263">
        <v>30</v>
      </c>
      <c r="Z263">
        <v>21</v>
      </c>
      <c r="AA263">
        <v>15</v>
      </c>
      <c r="AB263">
        <v>10</v>
      </c>
      <c r="AC263">
        <v>7</v>
      </c>
      <c r="AD263">
        <v>5</v>
      </c>
      <c r="AE263">
        <v>4</v>
      </c>
      <c r="AF263">
        <v>3</v>
      </c>
      <c r="AG263">
        <v>2</v>
      </c>
    </row>
    <row r="264" spans="2:33" outlineLevel="1" x14ac:dyDescent="0.2">
      <c r="B264" t="s">
        <v>155</v>
      </c>
      <c r="C264" t="str">
        <f t="shared" si="2"/>
        <v>CrystalFountain L3</v>
      </c>
      <c r="D264" s="1" t="s">
        <v>237</v>
      </c>
      <c r="E264" s="2">
        <v>3</v>
      </c>
      <c r="F264" s="18">
        <v>1</v>
      </c>
      <c r="G264" s="48">
        <v>340</v>
      </c>
      <c r="H264" s="48"/>
      <c r="I264" s="49">
        <v>340</v>
      </c>
      <c r="J264" s="24">
        <v>10.625</v>
      </c>
      <c r="K264" s="22">
        <v>9.4117647058823528E-2</v>
      </c>
      <c r="L264" s="53" t="s">
        <v>159</v>
      </c>
      <c r="N264">
        <v>306</v>
      </c>
      <c r="O264">
        <v>463</v>
      </c>
      <c r="P264">
        <v>421</v>
      </c>
      <c r="Q264">
        <v>383</v>
      </c>
      <c r="R264">
        <v>348</v>
      </c>
      <c r="S264">
        <v>317</v>
      </c>
      <c r="T264">
        <v>288</v>
      </c>
      <c r="U264">
        <v>262</v>
      </c>
      <c r="V264">
        <v>238</v>
      </c>
      <c r="W264">
        <v>216</v>
      </c>
      <c r="X264">
        <v>151</v>
      </c>
      <c r="Y264">
        <v>106</v>
      </c>
      <c r="Z264">
        <v>74</v>
      </c>
      <c r="AA264">
        <v>52</v>
      </c>
      <c r="AB264">
        <v>37</v>
      </c>
      <c r="AC264">
        <v>26</v>
      </c>
      <c r="AD264">
        <v>19</v>
      </c>
      <c r="AE264">
        <v>13</v>
      </c>
      <c r="AF264">
        <v>9</v>
      </c>
      <c r="AG264">
        <v>7</v>
      </c>
    </row>
    <row r="265" spans="2:33" outlineLevel="1" x14ac:dyDescent="0.2">
      <c r="B265" t="s">
        <v>155</v>
      </c>
      <c r="C265" t="str">
        <f t="shared" si="2"/>
        <v>CrystalFountain L4</v>
      </c>
      <c r="D265" s="1" t="s">
        <v>237</v>
      </c>
      <c r="E265" s="2">
        <v>4</v>
      </c>
      <c r="F265" s="18">
        <v>1</v>
      </c>
      <c r="G265" s="48">
        <v>612</v>
      </c>
      <c r="H265" s="48"/>
      <c r="I265" s="49">
        <v>612</v>
      </c>
      <c r="J265" s="24">
        <v>19.125</v>
      </c>
      <c r="K265" s="22">
        <v>5.2287581699346407E-2</v>
      </c>
      <c r="L265" s="53" t="s">
        <v>159</v>
      </c>
      <c r="N265">
        <v>612</v>
      </c>
      <c r="O265">
        <v>927</v>
      </c>
      <c r="P265">
        <v>842</v>
      </c>
      <c r="Q265">
        <v>765</v>
      </c>
      <c r="R265">
        <v>696</v>
      </c>
      <c r="S265">
        <v>633</v>
      </c>
      <c r="T265">
        <v>576</v>
      </c>
      <c r="U265">
        <v>524</v>
      </c>
      <c r="V265">
        <v>476</v>
      </c>
      <c r="W265">
        <v>433</v>
      </c>
      <c r="X265">
        <v>394</v>
      </c>
      <c r="Y265">
        <v>276</v>
      </c>
      <c r="Z265">
        <v>193</v>
      </c>
      <c r="AA265">
        <v>136</v>
      </c>
      <c r="AB265">
        <v>96</v>
      </c>
      <c r="AC265">
        <v>68</v>
      </c>
      <c r="AD265">
        <v>47</v>
      </c>
      <c r="AE265">
        <v>33</v>
      </c>
      <c r="AF265">
        <v>23</v>
      </c>
      <c r="AG265">
        <v>17</v>
      </c>
    </row>
    <row r="266" spans="2:33" outlineLevel="1" x14ac:dyDescent="0.2">
      <c r="B266" t="s">
        <v>155</v>
      </c>
      <c r="C266" t="str">
        <f t="shared" si="2"/>
        <v>CrystalFountain L5</v>
      </c>
      <c r="D266" s="1" t="s">
        <v>237</v>
      </c>
      <c r="E266" s="2">
        <v>5</v>
      </c>
      <c r="F266" s="18">
        <v>1</v>
      </c>
      <c r="G266" s="48">
        <v>1102</v>
      </c>
      <c r="H266" s="48"/>
      <c r="I266" s="49">
        <v>1102</v>
      </c>
      <c r="J266" s="24">
        <v>34.4375</v>
      </c>
      <c r="K266" s="22">
        <v>2.9038112522686024E-2</v>
      </c>
      <c r="L266" s="53" t="s">
        <v>159</v>
      </c>
      <c r="N266">
        <v>1349</v>
      </c>
      <c r="O266">
        <v>2043</v>
      </c>
      <c r="P266">
        <v>1857</v>
      </c>
      <c r="Q266">
        <v>1688</v>
      </c>
      <c r="R266">
        <v>1534</v>
      </c>
      <c r="S266">
        <v>1395</v>
      </c>
      <c r="T266">
        <v>1268</v>
      </c>
      <c r="U266">
        <v>1153</v>
      </c>
      <c r="V266">
        <v>1048</v>
      </c>
      <c r="W266">
        <v>953</v>
      </c>
      <c r="X266">
        <v>866</v>
      </c>
      <c r="Y266">
        <v>787</v>
      </c>
      <c r="Z266">
        <v>715</v>
      </c>
      <c r="AA266">
        <v>501</v>
      </c>
      <c r="AB266">
        <v>350</v>
      </c>
      <c r="AC266">
        <v>245</v>
      </c>
      <c r="AD266">
        <v>172</v>
      </c>
      <c r="AE266">
        <v>121</v>
      </c>
      <c r="AF266">
        <v>85</v>
      </c>
      <c r="AG266">
        <v>60</v>
      </c>
    </row>
    <row r="267" spans="2:33" outlineLevel="1" x14ac:dyDescent="0.2">
      <c r="B267" t="s">
        <v>155</v>
      </c>
      <c r="C267" t="str">
        <f t="shared" si="2"/>
        <v>CrystalFountain L6</v>
      </c>
      <c r="D267" s="1" t="s">
        <v>237</v>
      </c>
      <c r="E267" s="2">
        <v>6</v>
      </c>
      <c r="F267" s="18">
        <v>1</v>
      </c>
      <c r="G267" s="48">
        <v>1984</v>
      </c>
      <c r="H267" s="48"/>
      <c r="I267" s="49">
        <v>1984</v>
      </c>
      <c r="J267" s="24">
        <v>62</v>
      </c>
      <c r="K267" s="22">
        <v>1.6129032258064516E-2</v>
      </c>
      <c r="L267" s="53" t="s">
        <v>159</v>
      </c>
      <c r="N267">
        <v>2963</v>
      </c>
      <c r="O267">
        <v>4489</v>
      </c>
      <c r="P267">
        <v>4080</v>
      </c>
      <c r="Q267">
        <v>3710</v>
      </c>
      <c r="R267">
        <v>3373</v>
      </c>
      <c r="S267">
        <v>3066</v>
      </c>
      <c r="T267">
        <v>2788</v>
      </c>
      <c r="U267">
        <v>2534</v>
      </c>
      <c r="V267">
        <v>2304</v>
      </c>
      <c r="W267">
        <v>2095</v>
      </c>
      <c r="X267">
        <v>1904</v>
      </c>
      <c r="Y267">
        <v>1731</v>
      </c>
      <c r="Z267">
        <v>1573</v>
      </c>
      <c r="AA267">
        <v>1430</v>
      </c>
      <c r="AB267">
        <v>1300</v>
      </c>
      <c r="AC267">
        <v>910</v>
      </c>
      <c r="AD267">
        <v>637</v>
      </c>
      <c r="AE267">
        <v>447</v>
      </c>
      <c r="AF267">
        <v>312</v>
      </c>
      <c r="AG267">
        <v>219</v>
      </c>
    </row>
    <row r="268" spans="2:33" outlineLevel="1" x14ac:dyDescent="0.2">
      <c r="B268" t="s">
        <v>155</v>
      </c>
      <c r="C268" t="str">
        <f t="shared" si="2"/>
        <v>CrystalFountain L7</v>
      </c>
      <c r="D268" s="1" t="s">
        <v>237</v>
      </c>
      <c r="E268" s="2">
        <v>7</v>
      </c>
      <c r="F268" s="18">
        <v>1</v>
      </c>
      <c r="G268" s="48">
        <v>3571</v>
      </c>
      <c r="H268" s="48"/>
      <c r="I268" s="49">
        <v>3571</v>
      </c>
      <c r="J268" s="24">
        <v>111.59375</v>
      </c>
      <c r="K268" s="22">
        <v>8.9610753290394855E-3</v>
      </c>
      <c r="L268" s="53" t="s">
        <v>159</v>
      </c>
      <c r="N268">
        <v>5933</v>
      </c>
      <c r="O268">
        <v>8989</v>
      </c>
      <c r="P268">
        <v>8172</v>
      </c>
      <c r="Q268">
        <v>7429</v>
      </c>
      <c r="R268">
        <v>6754</v>
      </c>
      <c r="S268">
        <v>6140</v>
      </c>
      <c r="T268">
        <v>5582</v>
      </c>
      <c r="U268">
        <v>5075</v>
      </c>
      <c r="V268">
        <v>4613</v>
      </c>
      <c r="W268">
        <v>4194</v>
      </c>
      <c r="X268">
        <v>3813</v>
      </c>
      <c r="Y268">
        <v>3466</v>
      </c>
      <c r="Z268">
        <v>3151</v>
      </c>
      <c r="AA268">
        <v>2865</v>
      </c>
      <c r="AB268">
        <v>2605</v>
      </c>
      <c r="AC268">
        <v>2368</v>
      </c>
      <c r="AD268">
        <v>1658</v>
      </c>
      <c r="AE268">
        <v>1161</v>
      </c>
      <c r="AF268">
        <v>813</v>
      </c>
      <c r="AG268">
        <v>569</v>
      </c>
    </row>
    <row r="269" spans="2:33" outlineLevel="1" x14ac:dyDescent="0.2">
      <c r="B269" t="s">
        <v>155</v>
      </c>
      <c r="C269" t="str">
        <f t="shared" si="2"/>
        <v>CrystalFountain L8</v>
      </c>
      <c r="D269" s="1" t="s">
        <v>237</v>
      </c>
      <c r="E269" s="2">
        <v>8</v>
      </c>
      <c r="F269" s="18">
        <v>1</v>
      </c>
      <c r="G269" s="48">
        <v>6428</v>
      </c>
      <c r="H269" s="48"/>
      <c r="I269" s="49">
        <v>6428</v>
      </c>
      <c r="J269" s="24">
        <v>200.875</v>
      </c>
      <c r="K269" s="22">
        <v>4.9782202862476664E-3</v>
      </c>
      <c r="L269" s="53" t="s">
        <v>159</v>
      </c>
      <c r="N269">
        <v>11885</v>
      </c>
      <c r="O269">
        <v>18007</v>
      </c>
      <c r="P269">
        <v>16370</v>
      </c>
      <c r="Q269">
        <v>14881</v>
      </c>
      <c r="R269">
        <v>13528</v>
      </c>
      <c r="S269">
        <v>12298</v>
      </c>
      <c r="T269">
        <v>11180</v>
      </c>
      <c r="U269">
        <v>10164</v>
      </c>
      <c r="V269">
        <v>9240</v>
      </c>
      <c r="W269">
        <v>8401</v>
      </c>
      <c r="X269">
        <v>7637</v>
      </c>
      <c r="Y269">
        <v>6942</v>
      </c>
      <c r="Z269">
        <v>6311</v>
      </c>
      <c r="AA269">
        <v>5737</v>
      </c>
      <c r="AB269">
        <v>5216</v>
      </c>
      <c r="AC269">
        <v>4741</v>
      </c>
      <c r="AD269">
        <v>4310</v>
      </c>
      <c r="AE269">
        <v>3018</v>
      </c>
      <c r="AF269">
        <v>2113</v>
      </c>
      <c r="AG269">
        <v>1479</v>
      </c>
    </row>
    <row r="270" spans="2:33" outlineLevel="1" x14ac:dyDescent="0.2">
      <c r="B270" t="s">
        <v>155</v>
      </c>
      <c r="C270" t="str">
        <f t="shared" si="2"/>
        <v>CrystalFountain L9</v>
      </c>
      <c r="D270" s="1" t="s">
        <v>237</v>
      </c>
      <c r="E270" s="2">
        <v>9</v>
      </c>
      <c r="F270" s="18">
        <v>1</v>
      </c>
      <c r="G270" s="48">
        <v>11571</v>
      </c>
      <c r="H270" s="48"/>
      <c r="I270" s="49">
        <v>11571</v>
      </c>
      <c r="J270" s="24">
        <v>361.59375</v>
      </c>
      <c r="K270" s="22">
        <v>2.7655345259700978E-3</v>
      </c>
      <c r="L270" s="53" t="s">
        <v>159</v>
      </c>
      <c r="N270">
        <v>23793</v>
      </c>
      <c r="O270">
        <v>36048</v>
      </c>
      <c r="P270">
        <v>32771</v>
      </c>
      <c r="Q270">
        <v>29792</v>
      </c>
      <c r="R270">
        <v>27084</v>
      </c>
      <c r="S270">
        <v>24621</v>
      </c>
      <c r="T270">
        <v>22383</v>
      </c>
      <c r="U270">
        <v>20349</v>
      </c>
      <c r="V270">
        <v>18498</v>
      </c>
      <c r="W270">
        <v>16817</v>
      </c>
      <c r="X270">
        <v>15288</v>
      </c>
      <c r="Y270">
        <v>13899</v>
      </c>
      <c r="Z270">
        <v>12635</v>
      </c>
      <c r="AA270">
        <v>11487</v>
      </c>
      <c r="AB270">
        <v>10443</v>
      </c>
      <c r="AC270">
        <v>9494</v>
      </c>
      <c r="AD270">
        <v>8630</v>
      </c>
      <c r="AE270">
        <v>7846</v>
      </c>
      <c r="AF270">
        <v>5492</v>
      </c>
      <c r="AG270">
        <v>3844</v>
      </c>
    </row>
    <row r="271" spans="2:33" outlineLevel="1" x14ac:dyDescent="0.2">
      <c r="B271" t="s">
        <v>155</v>
      </c>
      <c r="C271" t="str">
        <f t="shared" si="2"/>
        <v>CrystalFountain L10</v>
      </c>
      <c r="D271" s="1" t="s">
        <v>237</v>
      </c>
      <c r="E271" s="2">
        <v>10</v>
      </c>
      <c r="F271" s="18">
        <v>1</v>
      </c>
      <c r="G271" s="48">
        <v>20828</v>
      </c>
      <c r="H271" s="48"/>
      <c r="I271" s="49">
        <v>20828</v>
      </c>
      <c r="J271" s="24">
        <v>650.875</v>
      </c>
      <c r="K271" s="22">
        <v>1.5363933166890724E-3</v>
      </c>
      <c r="L271" s="53" t="s">
        <v>159</v>
      </c>
      <c r="N271">
        <v>47641</v>
      </c>
      <c r="O271">
        <v>72183</v>
      </c>
      <c r="P271">
        <v>65621</v>
      </c>
      <c r="Q271">
        <v>59655</v>
      </c>
      <c r="R271">
        <v>54232</v>
      </c>
      <c r="S271">
        <v>49302</v>
      </c>
      <c r="T271">
        <v>44820</v>
      </c>
      <c r="U271">
        <v>40746</v>
      </c>
      <c r="V271">
        <v>37042</v>
      </c>
      <c r="W271">
        <v>33675</v>
      </c>
      <c r="X271">
        <v>30613</v>
      </c>
      <c r="Y271">
        <v>27830</v>
      </c>
      <c r="Z271">
        <v>25301</v>
      </c>
      <c r="AA271">
        <v>23001</v>
      </c>
      <c r="AB271">
        <v>20910</v>
      </c>
      <c r="AC271">
        <v>19009</v>
      </c>
      <c r="AD271">
        <v>17281</v>
      </c>
      <c r="AE271">
        <v>15710</v>
      </c>
      <c r="AF271">
        <v>14282</v>
      </c>
      <c r="AG271">
        <v>9997</v>
      </c>
    </row>
    <row r="272" spans="2:33" outlineLevel="1" x14ac:dyDescent="0.2">
      <c r="B272" t="s">
        <v>155</v>
      </c>
      <c r="C272" t="str">
        <f t="shared" si="2"/>
        <v>CrystalFountain L11</v>
      </c>
      <c r="D272" s="1" t="s">
        <v>237</v>
      </c>
      <c r="E272" s="2">
        <v>11</v>
      </c>
      <c r="F272" s="18">
        <v>1</v>
      </c>
      <c r="G272" s="48">
        <v>37490</v>
      </c>
      <c r="H272" s="48"/>
      <c r="I272" s="49">
        <v>37490</v>
      </c>
      <c r="J272" s="24">
        <v>1171.5625</v>
      </c>
      <c r="K272" s="22">
        <v>8.5356094958655637E-4</v>
      </c>
      <c r="L272" s="53" t="s">
        <v>159</v>
      </c>
      <c r="N272">
        <v>95410</v>
      </c>
      <c r="O272">
        <v>144560</v>
      </c>
      <c r="P272">
        <v>131419</v>
      </c>
      <c r="Q272">
        <v>119472</v>
      </c>
      <c r="R272">
        <v>108610</v>
      </c>
      <c r="S272">
        <v>98737</v>
      </c>
      <c r="T272">
        <v>89760</v>
      </c>
      <c r="U272">
        <v>81600</v>
      </c>
      <c r="V272">
        <v>74182</v>
      </c>
      <c r="W272">
        <v>67438</v>
      </c>
      <c r="X272">
        <v>61307</v>
      </c>
      <c r="Y272">
        <v>55734</v>
      </c>
      <c r="Z272">
        <v>50667</v>
      </c>
      <c r="AA272">
        <v>46061</v>
      </c>
      <c r="AB272">
        <v>41873</v>
      </c>
      <c r="AC272">
        <v>38067</v>
      </c>
      <c r="AD272">
        <v>34606</v>
      </c>
      <c r="AE272">
        <v>31460</v>
      </c>
      <c r="AF272">
        <v>28600</v>
      </c>
      <c r="AG272">
        <v>26000</v>
      </c>
    </row>
    <row r="273" spans="2:33" outlineLevel="1" x14ac:dyDescent="0.2">
      <c r="B273" t="s">
        <v>155</v>
      </c>
      <c r="C273" t="str">
        <f t="shared" si="2"/>
        <v>CrystalFountain L12</v>
      </c>
      <c r="D273" s="1" t="s">
        <v>237</v>
      </c>
      <c r="E273" s="2">
        <v>12</v>
      </c>
      <c r="F273" s="18">
        <v>1</v>
      </c>
      <c r="G273" s="48">
        <v>67482</v>
      </c>
      <c r="H273" s="48"/>
      <c r="I273" s="49">
        <v>67482</v>
      </c>
      <c r="J273" s="24">
        <v>2108.8125</v>
      </c>
      <c r="K273" s="22">
        <v>4.742005275480869E-4</v>
      </c>
      <c r="L273" s="53" t="s">
        <v>159</v>
      </c>
      <c r="N273">
        <v>171600</v>
      </c>
      <c r="O273">
        <v>260000</v>
      </c>
      <c r="P273">
        <v>236167</v>
      </c>
      <c r="Q273">
        <v>215584</v>
      </c>
      <c r="R273">
        <v>195000</v>
      </c>
      <c r="S273">
        <v>177667</v>
      </c>
      <c r="T273">
        <v>161417</v>
      </c>
      <c r="U273">
        <v>147334</v>
      </c>
      <c r="V273">
        <v>133250</v>
      </c>
      <c r="W273">
        <v>121334</v>
      </c>
      <c r="X273">
        <v>110500</v>
      </c>
      <c r="Y273">
        <v>100750</v>
      </c>
      <c r="Z273">
        <v>91000</v>
      </c>
      <c r="AA273">
        <v>83417</v>
      </c>
      <c r="AB273">
        <v>75834</v>
      </c>
      <c r="AC273">
        <v>68250</v>
      </c>
      <c r="AD273">
        <v>61750</v>
      </c>
      <c r="AE273">
        <v>56334</v>
      </c>
      <c r="AF273">
        <v>52000</v>
      </c>
      <c r="AG273">
        <v>46584</v>
      </c>
    </row>
    <row r="274" spans="2:33" outlineLevel="1" x14ac:dyDescent="0.2">
      <c r="B274" t="s">
        <v>155</v>
      </c>
      <c r="C274" t="str">
        <f t="shared" si="2"/>
        <v>CrystalFountain L13</v>
      </c>
      <c r="D274" s="1" t="s">
        <v>237</v>
      </c>
      <c r="E274" s="2">
        <v>13</v>
      </c>
      <c r="F274" s="18">
        <v>1</v>
      </c>
      <c r="G274" s="48">
        <v>121467</v>
      </c>
      <c r="H274" s="48"/>
      <c r="I274" s="49">
        <v>121467</v>
      </c>
      <c r="J274" s="24">
        <v>3795.84375</v>
      </c>
      <c r="K274" s="22">
        <v>2.6344603884182534E-4</v>
      </c>
      <c r="L274" s="53" t="s">
        <v>159</v>
      </c>
      <c r="N274">
        <v>308751</v>
      </c>
      <c r="O274">
        <v>468000</v>
      </c>
      <c r="P274">
        <v>424667</v>
      </c>
      <c r="Q274">
        <v>387834</v>
      </c>
      <c r="R274">
        <v>351000</v>
      </c>
      <c r="S274">
        <v>319584</v>
      </c>
      <c r="T274">
        <v>290334</v>
      </c>
      <c r="U274">
        <v>265417</v>
      </c>
      <c r="V274">
        <v>239417</v>
      </c>
      <c r="W274">
        <v>218834</v>
      </c>
      <c r="X274">
        <v>199334</v>
      </c>
      <c r="Y274">
        <v>180917</v>
      </c>
      <c r="Z274">
        <v>163584</v>
      </c>
      <c r="AA274">
        <v>150584</v>
      </c>
      <c r="AB274">
        <v>136500</v>
      </c>
      <c r="AC274">
        <v>122417</v>
      </c>
      <c r="AD274">
        <v>111584</v>
      </c>
      <c r="AE274">
        <v>101834</v>
      </c>
      <c r="AF274">
        <v>93167</v>
      </c>
      <c r="AG274">
        <v>83417</v>
      </c>
    </row>
    <row r="275" spans="2:33" outlineLevel="1" x14ac:dyDescent="0.2">
      <c r="B275" t="s">
        <v>155</v>
      </c>
      <c r="C275" t="str">
        <f t="shared" si="2"/>
        <v>CrystalFountain L14</v>
      </c>
      <c r="D275" s="1" t="s">
        <v>237</v>
      </c>
      <c r="E275" s="2">
        <v>14</v>
      </c>
      <c r="F275" s="18">
        <v>1</v>
      </c>
      <c r="G275" s="48">
        <v>218641</v>
      </c>
      <c r="H275" s="48"/>
      <c r="I275" s="49">
        <v>218641</v>
      </c>
      <c r="J275" s="24">
        <v>6832.53125</v>
      </c>
      <c r="K275" s="22">
        <v>1.4635864270653721E-4</v>
      </c>
      <c r="L275" s="53" t="s">
        <v>159</v>
      </c>
      <c r="N275">
        <v>555750</v>
      </c>
      <c r="O275">
        <v>842834</v>
      </c>
      <c r="P275">
        <v>764834</v>
      </c>
      <c r="Q275">
        <v>697667</v>
      </c>
      <c r="R275">
        <v>631584</v>
      </c>
      <c r="S275">
        <v>575250</v>
      </c>
      <c r="T275">
        <v>522167</v>
      </c>
      <c r="U275">
        <v>477750</v>
      </c>
      <c r="V275">
        <v>431167</v>
      </c>
      <c r="W275">
        <v>394334</v>
      </c>
      <c r="X275">
        <v>358584</v>
      </c>
      <c r="Y275">
        <v>326084</v>
      </c>
      <c r="Z275">
        <v>294667</v>
      </c>
      <c r="AA275">
        <v>270834</v>
      </c>
      <c r="AB275">
        <v>245917</v>
      </c>
      <c r="AC275">
        <v>219917</v>
      </c>
      <c r="AD275">
        <v>200417</v>
      </c>
      <c r="AE275">
        <v>183084</v>
      </c>
      <c r="AF275">
        <v>167917</v>
      </c>
      <c r="AG275">
        <v>150584</v>
      </c>
    </row>
    <row r="276" spans="2:33" outlineLevel="1" x14ac:dyDescent="0.2">
      <c r="B276" t="s">
        <v>155</v>
      </c>
      <c r="C276" t="str">
        <f t="shared" si="2"/>
        <v>CrystalFountain L15</v>
      </c>
      <c r="D276" s="1" t="s">
        <v>237</v>
      </c>
      <c r="E276" s="2">
        <v>15</v>
      </c>
      <c r="F276" s="18">
        <v>1</v>
      </c>
      <c r="G276" s="48">
        <v>393554</v>
      </c>
      <c r="H276" s="48"/>
      <c r="I276" s="49">
        <v>393554</v>
      </c>
      <c r="J276" s="24">
        <v>12298.5625</v>
      </c>
      <c r="K276" s="22">
        <v>8.1310315738119805E-5</v>
      </c>
      <c r="L276" s="53" t="s">
        <v>159</v>
      </c>
      <c r="N276">
        <v>1000350</v>
      </c>
      <c r="O276">
        <v>1516667</v>
      </c>
      <c r="P276">
        <v>1376917</v>
      </c>
      <c r="Q276">
        <v>1255584</v>
      </c>
      <c r="R276">
        <v>1136417</v>
      </c>
      <c r="S276">
        <v>1035667</v>
      </c>
      <c r="T276">
        <v>940334</v>
      </c>
      <c r="U276">
        <v>860167</v>
      </c>
      <c r="V276">
        <v>775667</v>
      </c>
      <c r="W276">
        <v>709584</v>
      </c>
      <c r="X276">
        <v>645667</v>
      </c>
      <c r="Y276">
        <v>587167</v>
      </c>
      <c r="Z276">
        <v>530834</v>
      </c>
      <c r="AA276">
        <v>487500</v>
      </c>
      <c r="AB276">
        <v>443084</v>
      </c>
      <c r="AC276">
        <v>395417</v>
      </c>
      <c r="AD276">
        <v>360750</v>
      </c>
      <c r="AE276">
        <v>329334</v>
      </c>
      <c r="AF276">
        <v>302250</v>
      </c>
      <c r="AG276">
        <v>270834</v>
      </c>
    </row>
    <row r="277" spans="2:33" outlineLevel="1" x14ac:dyDescent="0.2">
      <c r="B277" t="s">
        <v>155</v>
      </c>
      <c r="C277" t="str">
        <f t="shared" si="2"/>
        <v>CrystalFountain L16</v>
      </c>
      <c r="D277" s="1" t="s">
        <v>237</v>
      </c>
      <c r="E277" s="2">
        <v>16</v>
      </c>
      <c r="F277" s="18">
        <v>1</v>
      </c>
      <c r="G277" s="48">
        <v>708397</v>
      </c>
      <c r="H277" s="48"/>
      <c r="I277" s="49">
        <v>708397</v>
      </c>
      <c r="J277" s="24">
        <v>22137.40625</v>
      </c>
      <c r="K277" s="22">
        <v>4.5172410385701801E-5</v>
      </c>
      <c r="L277" s="53" t="s">
        <v>159</v>
      </c>
      <c r="N277">
        <v>1800501</v>
      </c>
      <c r="O277">
        <v>2730000</v>
      </c>
      <c r="P277">
        <v>2478667</v>
      </c>
      <c r="Q277">
        <v>2259834</v>
      </c>
      <c r="R277">
        <v>2045334</v>
      </c>
      <c r="S277">
        <v>1864417</v>
      </c>
      <c r="T277">
        <v>1692167</v>
      </c>
      <c r="U277">
        <v>1548084</v>
      </c>
      <c r="V277">
        <v>1396417</v>
      </c>
      <c r="W277">
        <v>1277250</v>
      </c>
      <c r="X277">
        <v>1162417</v>
      </c>
      <c r="Y277">
        <v>1057334</v>
      </c>
      <c r="Z277">
        <v>955500</v>
      </c>
      <c r="AA277">
        <v>877500</v>
      </c>
      <c r="AB277">
        <v>797334</v>
      </c>
      <c r="AC277">
        <v>711750</v>
      </c>
      <c r="AD277">
        <v>648917</v>
      </c>
      <c r="AE277">
        <v>592584</v>
      </c>
      <c r="AF277">
        <v>543834</v>
      </c>
      <c r="AG277">
        <v>487500</v>
      </c>
    </row>
    <row r="278" spans="2:33" outlineLevel="1" x14ac:dyDescent="0.2">
      <c r="B278" t="s">
        <v>155</v>
      </c>
      <c r="C278" t="str">
        <f t="shared" si="2"/>
        <v>CrystalFountain L17</v>
      </c>
      <c r="D278" s="1" t="s">
        <v>237</v>
      </c>
      <c r="E278" s="2">
        <v>17</v>
      </c>
      <c r="F278" s="18">
        <v>1</v>
      </c>
      <c r="G278" s="48">
        <v>1275115</v>
      </c>
      <c r="H278" s="48"/>
      <c r="I278" s="49">
        <v>1275115</v>
      </c>
      <c r="J278" s="24">
        <v>39847.34375</v>
      </c>
      <c r="K278" s="22">
        <v>2.5095775675135183E-5</v>
      </c>
      <c r="L278" s="53" t="s">
        <v>159</v>
      </c>
      <c r="N278">
        <v>3240900</v>
      </c>
      <c r="O278">
        <v>4914000</v>
      </c>
      <c r="P278">
        <v>4461167</v>
      </c>
      <c r="Q278">
        <v>4067917</v>
      </c>
      <c r="R278">
        <v>3681167</v>
      </c>
      <c r="S278">
        <v>3356167</v>
      </c>
      <c r="T278">
        <v>3046334</v>
      </c>
      <c r="U278">
        <v>2786334</v>
      </c>
      <c r="V278">
        <v>2513334</v>
      </c>
      <c r="W278">
        <v>2298834</v>
      </c>
      <c r="X278">
        <v>2091917</v>
      </c>
      <c r="Y278">
        <v>1903417</v>
      </c>
      <c r="Z278">
        <v>1720334</v>
      </c>
      <c r="AA278">
        <v>1579500</v>
      </c>
      <c r="AB278">
        <v>1435417</v>
      </c>
      <c r="AC278">
        <v>1281584</v>
      </c>
      <c r="AD278">
        <v>1167834</v>
      </c>
      <c r="AE278">
        <v>1067084</v>
      </c>
      <c r="AF278">
        <v>979334</v>
      </c>
      <c r="AG278">
        <v>877500</v>
      </c>
    </row>
    <row r="279" spans="2:33" outlineLevel="1" x14ac:dyDescent="0.2">
      <c r="B279" t="s">
        <v>155</v>
      </c>
      <c r="C279" t="str">
        <f t="shared" si="2"/>
        <v>CrystalFountain L18</v>
      </c>
      <c r="D279" s="1" t="s">
        <v>237</v>
      </c>
      <c r="E279" s="2">
        <v>18</v>
      </c>
      <c r="F279" s="18">
        <v>1</v>
      </c>
      <c r="G279" s="48">
        <v>2295207</v>
      </c>
      <c r="H279" s="48"/>
      <c r="I279" s="49">
        <v>2295207</v>
      </c>
      <c r="J279" s="24">
        <v>71725.21875</v>
      </c>
      <c r="K279" s="22">
        <v>1.3942097597297324E-5</v>
      </c>
      <c r="L279" s="53" t="s">
        <v>159</v>
      </c>
      <c r="N279">
        <v>5833751</v>
      </c>
      <c r="O279">
        <v>8845417</v>
      </c>
      <c r="P279">
        <v>8029667</v>
      </c>
      <c r="Q279">
        <v>7322250</v>
      </c>
      <c r="R279">
        <v>6625667</v>
      </c>
      <c r="S279">
        <v>6040667</v>
      </c>
      <c r="T279">
        <v>5483834</v>
      </c>
      <c r="U279">
        <v>5015834</v>
      </c>
      <c r="V279">
        <v>4524000</v>
      </c>
      <c r="W279">
        <v>4138334</v>
      </c>
      <c r="X279">
        <v>3765667</v>
      </c>
      <c r="Y279">
        <v>3426584</v>
      </c>
      <c r="Z279">
        <v>3096167</v>
      </c>
      <c r="AA279">
        <v>2842667</v>
      </c>
      <c r="AB279">
        <v>2583750</v>
      </c>
      <c r="AC279">
        <v>2306417</v>
      </c>
      <c r="AD279">
        <v>2101667</v>
      </c>
      <c r="AE279">
        <v>1920750</v>
      </c>
      <c r="AF279">
        <v>1762584</v>
      </c>
      <c r="AG279">
        <v>1579500</v>
      </c>
    </row>
    <row r="280" spans="2:33" outlineLevel="1" x14ac:dyDescent="0.2">
      <c r="B280" t="s">
        <v>155</v>
      </c>
      <c r="C280" t="str">
        <f t="shared" si="2"/>
        <v>CrystalFountain L19</v>
      </c>
      <c r="D280" s="1" t="s">
        <v>237</v>
      </c>
      <c r="E280" s="2">
        <v>19</v>
      </c>
      <c r="F280" s="18">
        <v>1</v>
      </c>
      <c r="G280" s="48">
        <v>4131373</v>
      </c>
      <c r="H280" s="48"/>
      <c r="I280" s="49">
        <v>4131373</v>
      </c>
      <c r="J280" s="24">
        <v>129105.40625</v>
      </c>
      <c r="K280" s="22">
        <v>7.7456090263454797E-6</v>
      </c>
      <c r="L280" s="53" t="s">
        <v>159</v>
      </c>
      <c r="N280">
        <v>10500750</v>
      </c>
      <c r="O280">
        <v>15921750</v>
      </c>
      <c r="P280">
        <v>14453834</v>
      </c>
      <c r="Q280">
        <v>13179834</v>
      </c>
      <c r="R280">
        <v>11926417</v>
      </c>
      <c r="S280">
        <v>10873417</v>
      </c>
      <c r="T280">
        <v>9871334</v>
      </c>
      <c r="U280">
        <v>9028500</v>
      </c>
      <c r="V280">
        <v>8143417</v>
      </c>
      <c r="W280">
        <v>7449000</v>
      </c>
      <c r="X280">
        <v>6778417</v>
      </c>
      <c r="Y280">
        <v>6167417</v>
      </c>
      <c r="Z280">
        <v>5572667</v>
      </c>
      <c r="AA280">
        <v>5116584</v>
      </c>
      <c r="AB280">
        <v>4650750</v>
      </c>
      <c r="AC280">
        <v>4151334</v>
      </c>
      <c r="AD280">
        <v>3783000</v>
      </c>
      <c r="AE280">
        <v>3456917</v>
      </c>
      <c r="AF280">
        <v>3173084</v>
      </c>
      <c r="AG280">
        <v>2842667</v>
      </c>
    </row>
    <row r="281" spans="2:33" outlineLevel="1" x14ac:dyDescent="0.2">
      <c r="B281" t="s">
        <v>155</v>
      </c>
      <c r="C281" t="str">
        <f t="shared" si="2"/>
        <v>CrystalFountain L20</v>
      </c>
      <c r="D281" s="1" t="s">
        <v>237</v>
      </c>
      <c r="E281" s="2">
        <v>20</v>
      </c>
      <c r="F281" s="18">
        <v>1</v>
      </c>
      <c r="G281" s="48">
        <v>7436471</v>
      </c>
      <c r="H281" s="48"/>
      <c r="I281" s="49">
        <v>7436471</v>
      </c>
      <c r="J281" s="24">
        <v>232389.71875</v>
      </c>
      <c r="K281" s="22">
        <v>4.3031163572076055E-6</v>
      </c>
      <c r="L281" s="53" t="s">
        <v>159</v>
      </c>
      <c r="N281">
        <v>18901350</v>
      </c>
      <c r="O281">
        <v>28659584</v>
      </c>
      <c r="P281">
        <v>26017334</v>
      </c>
      <c r="Q281">
        <v>23723917</v>
      </c>
      <c r="R281">
        <v>21467334</v>
      </c>
      <c r="S281">
        <v>19572584</v>
      </c>
      <c r="T281">
        <v>17768834</v>
      </c>
      <c r="U281">
        <v>16251084</v>
      </c>
      <c r="V281">
        <v>14658584</v>
      </c>
      <c r="W281">
        <v>13408417</v>
      </c>
      <c r="X281">
        <v>12201584</v>
      </c>
      <c r="Y281">
        <v>11100917</v>
      </c>
      <c r="Z281">
        <v>10030584</v>
      </c>
      <c r="AA281">
        <v>9209417</v>
      </c>
      <c r="AB281">
        <v>8370917</v>
      </c>
      <c r="AC281">
        <v>7472834</v>
      </c>
      <c r="AD281">
        <v>6809834</v>
      </c>
      <c r="AE281">
        <v>6222667</v>
      </c>
      <c r="AF281">
        <v>5711334</v>
      </c>
      <c r="AG281">
        <v>5116584</v>
      </c>
    </row>
    <row r="282" spans="2:33" s="27" customFormat="1" x14ac:dyDescent="0.2">
      <c r="B282" s="27" t="s">
        <v>155</v>
      </c>
      <c r="C282" s="27" t="str">
        <f t="shared" si="2"/>
        <v>NeedleTowerHarvester L1</v>
      </c>
      <c r="D282" s="29" t="s">
        <v>238</v>
      </c>
      <c r="E282" s="30">
        <v>1</v>
      </c>
      <c r="F282" s="31">
        <v>1</v>
      </c>
      <c r="G282" s="54">
        <v>123</v>
      </c>
      <c r="H282" s="54"/>
      <c r="I282" s="47">
        <v>123</v>
      </c>
      <c r="J282" s="33">
        <v>3.84375</v>
      </c>
      <c r="K282" s="34">
        <v>0.26016260162601629</v>
      </c>
      <c r="L282" s="35" t="s">
        <v>160</v>
      </c>
      <c r="N282" s="27">
        <v>64</v>
      </c>
      <c r="O282" s="27">
        <v>96</v>
      </c>
      <c r="P282" s="27">
        <v>87</v>
      </c>
      <c r="Q282" s="27">
        <v>80</v>
      </c>
      <c r="R282" s="27">
        <v>72</v>
      </c>
      <c r="S282" s="27">
        <v>65</v>
      </c>
      <c r="T282" s="27">
        <v>46</v>
      </c>
      <c r="U282" s="27">
        <v>32</v>
      </c>
      <c r="V282" s="27">
        <v>22</v>
      </c>
      <c r="W282" s="27">
        <v>16</v>
      </c>
      <c r="X282" s="27">
        <v>11</v>
      </c>
      <c r="Y282" s="27">
        <v>8</v>
      </c>
      <c r="Z282" s="27">
        <v>6</v>
      </c>
      <c r="AA282" s="27">
        <v>5</v>
      </c>
      <c r="AB282" s="27">
        <v>4</v>
      </c>
      <c r="AC282" s="27">
        <v>3</v>
      </c>
      <c r="AD282" s="27">
        <v>2</v>
      </c>
      <c r="AE282" s="27">
        <v>2</v>
      </c>
      <c r="AF282" s="27">
        <v>2</v>
      </c>
      <c r="AG282" s="27">
        <v>2</v>
      </c>
    </row>
    <row r="283" spans="2:33" outlineLevel="1" x14ac:dyDescent="0.2">
      <c r="B283" t="s">
        <v>155</v>
      </c>
      <c r="C283" t="str">
        <f t="shared" ref="C283:C341" si="3">D283&amp;" L"&amp;E283</f>
        <v>NeedleTowerHarvester L2</v>
      </c>
      <c r="D283" s="1" t="s">
        <v>238</v>
      </c>
      <c r="E283" s="2">
        <v>2</v>
      </c>
      <c r="F283" s="18">
        <v>1</v>
      </c>
      <c r="G283" s="48">
        <v>221</v>
      </c>
      <c r="H283" s="48"/>
      <c r="I283" s="49">
        <v>221</v>
      </c>
      <c r="J283" s="24">
        <v>6.90625</v>
      </c>
      <c r="K283" s="22">
        <v>0.14479638009049775</v>
      </c>
      <c r="L283" s="53" t="s">
        <v>160</v>
      </c>
      <c r="N283">
        <v>140</v>
      </c>
      <c r="O283">
        <v>212</v>
      </c>
      <c r="P283">
        <v>192</v>
      </c>
      <c r="Q283">
        <v>175</v>
      </c>
      <c r="R283">
        <v>159</v>
      </c>
      <c r="S283">
        <v>145</v>
      </c>
      <c r="T283">
        <v>132</v>
      </c>
      <c r="U283">
        <v>120</v>
      </c>
      <c r="V283">
        <v>84</v>
      </c>
      <c r="W283">
        <v>59</v>
      </c>
      <c r="X283">
        <v>42</v>
      </c>
      <c r="Y283">
        <v>30</v>
      </c>
      <c r="Z283">
        <v>21</v>
      </c>
      <c r="AA283">
        <v>15</v>
      </c>
      <c r="AB283">
        <v>10</v>
      </c>
      <c r="AC283">
        <v>7</v>
      </c>
      <c r="AD283">
        <v>5</v>
      </c>
      <c r="AE283">
        <v>4</v>
      </c>
      <c r="AF283">
        <v>3</v>
      </c>
      <c r="AG283">
        <v>2</v>
      </c>
    </row>
    <row r="284" spans="2:33" outlineLevel="1" x14ac:dyDescent="0.2">
      <c r="B284" t="s">
        <v>155</v>
      </c>
      <c r="C284" t="str">
        <f t="shared" si="3"/>
        <v>NeedleTowerHarvester L3</v>
      </c>
      <c r="D284" s="1" t="s">
        <v>238</v>
      </c>
      <c r="E284" s="2">
        <v>3</v>
      </c>
      <c r="F284" s="18">
        <v>1</v>
      </c>
      <c r="G284" s="48">
        <v>399</v>
      </c>
      <c r="H284" s="48"/>
      <c r="I284" s="49">
        <v>399</v>
      </c>
      <c r="J284" s="24">
        <v>12.46875</v>
      </c>
      <c r="K284" s="22">
        <v>8.0200501253132828E-2</v>
      </c>
      <c r="L284" s="53" t="s">
        <v>160</v>
      </c>
      <c r="N284">
        <v>306</v>
      </c>
      <c r="O284">
        <v>463</v>
      </c>
      <c r="P284">
        <v>421</v>
      </c>
      <c r="Q284">
        <v>383</v>
      </c>
      <c r="R284">
        <v>348</v>
      </c>
      <c r="S284">
        <v>317</v>
      </c>
      <c r="T284">
        <v>288</v>
      </c>
      <c r="U284">
        <v>262</v>
      </c>
      <c r="V284">
        <v>238</v>
      </c>
      <c r="W284">
        <v>216</v>
      </c>
      <c r="X284">
        <v>151</v>
      </c>
      <c r="Y284">
        <v>106</v>
      </c>
      <c r="Z284">
        <v>74</v>
      </c>
      <c r="AA284">
        <v>52</v>
      </c>
      <c r="AB284">
        <v>37</v>
      </c>
      <c r="AC284">
        <v>26</v>
      </c>
      <c r="AD284">
        <v>19</v>
      </c>
      <c r="AE284">
        <v>13</v>
      </c>
      <c r="AF284">
        <v>9</v>
      </c>
      <c r="AG284">
        <v>7</v>
      </c>
    </row>
    <row r="285" spans="2:33" outlineLevel="1" x14ac:dyDescent="0.2">
      <c r="B285" t="s">
        <v>155</v>
      </c>
      <c r="C285" t="str">
        <f t="shared" si="3"/>
        <v>NeedleTowerHarvester L4</v>
      </c>
      <c r="D285" s="1" t="s">
        <v>238</v>
      </c>
      <c r="E285" s="2">
        <v>4</v>
      </c>
      <c r="F285" s="18">
        <v>1</v>
      </c>
      <c r="G285" s="48">
        <v>717</v>
      </c>
      <c r="H285" s="48"/>
      <c r="I285" s="49">
        <v>717</v>
      </c>
      <c r="J285" s="24">
        <v>22.40625</v>
      </c>
      <c r="K285" s="22">
        <v>4.4630404463040445E-2</v>
      </c>
      <c r="L285" s="53" t="s">
        <v>160</v>
      </c>
      <c r="N285">
        <v>612</v>
      </c>
      <c r="O285">
        <v>927</v>
      </c>
      <c r="P285">
        <v>842</v>
      </c>
      <c r="Q285">
        <v>765</v>
      </c>
      <c r="R285">
        <v>696</v>
      </c>
      <c r="S285">
        <v>633</v>
      </c>
      <c r="T285">
        <v>576</v>
      </c>
      <c r="U285">
        <v>524</v>
      </c>
      <c r="V285">
        <v>476</v>
      </c>
      <c r="W285">
        <v>433</v>
      </c>
      <c r="X285">
        <v>394</v>
      </c>
      <c r="Y285">
        <v>276</v>
      </c>
      <c r="Z285">
        <v>193</v>
      </c>
      <c r="AA285">
        <v>136</v>
      </c>
      <c r="AB285">
        <v>96</v>
      </c>
      <c r="AC285">
        <v>68</v>
      </c>
      <c r="AD285">
        <v>47</v>
      </c>
      <c r="AE285">
        <v>33</v>
      </c>
      <c r="AF285">
        <v>23</v>
      </c>
      <c r="AG285">
        <v>17</v>
      </c>
    </row>
    <row r="286" spans="2:33" outlineLevel="1" x14ac:dyDescent="0.2">
      <c r="B286" t="s">
        <v>155</v>
      </c>
      <c r="C286" t="str">
        <f t="shared" si="3"/>
        <v>NeedleTowerHarvester L5</v>
      </c>
      <c r="D286" s="1" t="s">
        <v>238</v>
      </c>
      <c r="E286" s="2">
        <v>5</v>
      </c>
      <c r="F286" s="18">
        <v>1</v>
      </c>
      <c r="G286" s="48">
        <v>1291</v>
      </c>
      <c r="H286" s="48"/>
      <c r="I286" s="49">
        <v>1291</v>
      </c>
      <c r="J286" s="24">
        <v>40.34375</v>
      </c>
      <c r="K286" s="22">
        <v>2.4786986831913247E-2</v>
      </c>
      <c r="L286" s="53" t="s">
        <v>160</v>
      </c>
      <c r="N286">
        <v>1349</v>
      </c>
      <c r="O286">
        <v>2043</v>
      </c>
      <c r="P286">
        <v>1857</v>
      </c>
      <c r="Q286">
        <v>1688</v>
      </c>
      <c r="R286">
        <v>1534</v>
      </c>
      <c r="S286">
        <v>1395</v>
      </c>
      <c r="T286">
        <v>1268</v>
      </c>
      <c r="U286">
        <v>1153</v>
      </c>
      <c r="V286">
        <v>1048</v>
      </c>
      <c r="W286">
        <v>953</v>
      </c>
      <c r="X286">
        <v>866</v>
      </c>
      <c r="Y286">
        <v>787</v>
      </c>
      <c r="Z286">
        <v>715</v>
      </c>
      <c r="AA286">
        <v>501</v>
      </c>
      <c r="AB286">
        <v>350</v>
      </c>
      <c r="AC286">
        <v>245</v>
      </c>
      <c r="AD286">
        <v>172</v>
      </c>
      <c r="AE286">
        <v>121</v>
      </c>
      <c r="AF286">
        <v>85</v>
      </c>
      <c r="AG286">
        <v>60</v>
      </c>
    </row>
    <row r="287" spans="2:33" outlineLevel="1" x14ac:dyDescent="0.2">
      <c r="B287" t="s">
        <v>155</v>
      </c>
      <c r="C287" t="str">
        <f t="shared" si="3"/>
        <v>NeedleTowerHarvester L6</v>
      </c>
      <c r="D287" s="1" t="s">
        <v>238</v>
      </c>
      <c r="E287" s="2">
        <v>6</v>
      </c>
      <c r="F287" s="18">
        <v>1</v>
      </c>
      <c r="G287" s="48">
        <v>2324</v>
      </c>
      <c r="H287" s="48"/>
      <c r="I287" s="49">
        <v>2324</v>
      </c>
      <c r="J287" s="24">
        <v>72.625</v>
      </c>
      <c r="K287" s="22">
        <v>1.3769363166953529E-2</v>
      </c>
      <c r="L287" s="53" t="s">
        <v>160</v>
      </c>
      <c r="N287">
        <v>2963</v>
      </c>
      <c r="O287">
        <v>4489</v>
      </c>
      <c r="P287">
        <v>4080</v>
      </c>
      <c r="Q287">
        <v>3710</v>
      </c>
      <c r="R287">
        <v>3373</v>
      </c>
      <c r="S287">
        <v>3066</v>
      </c>
      <c r="T287">
        <v>2788</v>
      </c>
      <c r="U287">
        <v>2534</v>
      </c>
      <c r="V287">
        <v>2304</v>
      </c>
      <c r="W287">
        <v>2095</v>
      </c>
      <c r="X287">
        <v>1904</v>
      </c>
      <c r="Y287">
        <v>1731</v>
      </c>
      <c r="Z287">
        <v>1573</v>
      </c>
      <c r="AA287">
        <v>1430</v>
      </c>
      <c r="AB287">
        <v>1300</v>
      </c>
      <c r="AC287">
        <v>910</v>
      </c>
      <c r="AD287">
        <v>637</v>
      </c>
      <c r="AE287">
        <v>447</v>
      </c>
      <c r="AF287">
        <v>312</v>
      </c>
      <c r="AG287">
        <v>219</v>
      </c>
    </row>
    <row r="288" spans="2:33" outlineLevel="1" x14ac:dyDescent="0.2">
      <c r="B288" t="s">
        <v>155</v>
      </c>
      <c r="C288" t="str">
        <f t="shared" si="3"/>
        <v>NeedleTowerHarvester L7</v>
      </c>
      <c r="D288" s="1" t="s">
        <v>238</v>
      </c>
      <c r="E288" s="2">
        <v>7</v>
      </c>
      <c r="F288" s="18">
        <v>1</v>
      </c>
      <c r="G288" s="48">
        <v>4184</v>
      </c>
      <c r="H288" s="48"/>
      <c r="I288" s="49">
        <v>4184</v>
      </c>
      <c r="J288" s="24">
        <v>130.75</v>
      </c>
      <c r="K288" s="22">
        <v>7.6481835564053535E-3</v>
      </c>
      <c r="L288" s="53" t="s">
        <v>160</v>
      </c>
      <c r="N288">
        <v>5933</v>
      </c>
      <c r="O288">
        <v>8989</v>
      </c>
      <c r="P288">
        <v>8172</v>
      </c>
      <c r="Q288">
        <v>7429</v>
      </c>
      <c r="R288">
        <v>6754</v>
      </c>
      <c r="S288">
        <v>6140</v>
      </c>
      <c r="T288">
        <v>5582</v>
      </c>
      <c r="U288">
        <v>5075</v>
      </c>
      <c r="V288">
        <v>4613</v>
      </c>
      <c r="W288">
        <v>4194</v>
      </c>
      <c r="X288">
        <v>3813</v>
      </c>
      <c r="Y288">
        <v>3466</v>
      </c>
      <c r="Z288">
        <v>3151</v>
      </c>
      <c r="AA288">
        <v>2865</v>
      </c>
      <c r="AB288">
        <v>2605</v>
      </c>
      <c r="AC288">
        <v>2368</v>
      </c>
      <c r="AD288">
        <v>1658</v>
      </c>
      <c r="AE288">
        <v>1161</v>
      </c>
      <c r="AF288">
        <v>813</v>
      </c>
      <c r="AG288">
        <v>569</v>
      </c>
    </row>
    <row r="289" spans="2:33" outlineLevel="1" x14ac:dyDescent="0.2">
      <c r="B289" t="s">
        <v>155</v>
      </c>
      <c r="C289" t="str">
        <f t="shared" si="3"/>
        <v>NeedleTowerHarvester L8</v>
      </c>
      <c r="D289" s="1" t="s">
        <v>238</v>
      </c>
      <c r="E289" s="2">
        <v>8</v>
      </c>
      <c r="F289" s="18">
        <v>1</v>
      </c>
      <c r="G289" s="48">
        <v>7530</v>
      </c>
      <c r="H289" s="48"/>
      <c r="I289" s="49">
        <v>7530</v>
      </c>
      <c r="J289" s="24">
        <v>235.3125</v>
      </c>
      <c r="K289" s="22">
        <v>4.2496679946879149E-3</v>
      </c>
      <c r="L289" s="53" t="s">
        <v>160</v>
      </c>
      <c r="N289">
        <v>11885</v>
      </c>
      <c r="O289">
        <v>18007</v>
      </c>
      <c r="P289">
        <v>16370</v>
      </c>
      <c r="Q289">
        <v>14881</v>
      </c>
      <c r="R289">
        <v>13528</v>
      </c>
      <c r="S289">
        <v>12298</v>
      </c>
      <c r="T289">
        <v>11180</v>
      </c>
      <c r="U289">
        <v>10164</v>
      </c>
      <c r="V289">
        <v>9240</v>
      </c>
      <c r="W289">
        <v>8401</v>
      </c>
      <c r="X289">
        <v>7637</v>
      </c>
      <c r="Y289">
        <v>6942</v>
      </c>
      <c r="Z289">
        <v>6311</v>
      </c>
      <c r="AA289">
        <v>5737</v>
      </c>
      <c r="AB289">
        <v>5216</v>
      </c>
      <c r="AC289">
        <v>4741</v>
      </c>
      <c r="AD289">
        <v>4310</v>
      </c>
      <c r="AE289">
        <v>3018</v>
      </c>
      <c r="AF289">
        <v>2113</v>
      </c>
      <c r="AG289">
        <v>1479</v>
      </c>
    </row>
    <row r="290" spans="2:33" outlineLevel="1" x14ac:dyDescent="0.2">
      <c r="B290" t="s">
        <v>155</v>
      </c>
      <c r="C290" t="str">
        <f t="shared" si="3"/>
        <v>NeedleTowerHarvester L9</v>
      </c>
      <c r="D290" s="1" t="s">
        <v>238</v>
      </c>
      <c r="E290" s="2">
        <v>9</v>
      </c>
      <c r="F290" s="18">
        <v>1</v>
      </c>
      <c r="G290" s="48">
        <v>13555</v>
      </c>
      <c r="H290" s="48"/>
      <c r="I290" s="49">
        <v>13555</v>
      </c>
      <c r="J290" s="24">
        <v>423.59375</v>
      </c>
      <c r="K290" s="22">
        <v>2.3607524898561416E-3</v>
      </c>
      <c r="L290" s="53" t="s">
        <v>160</v>
      </c>
      <c r="N290">
        <v>23793</v>
      </c>
      <c r="O290">
        <v>36048</v>
      </c>
      <c r="P290">
        <v>32771</v>
      </c>
      <c r="Q290">
        <v>29792</v>
      </c>
      <c r="R290">
        <v>27084</v>
      </c>
      <c r="S290">
        <v>24621</v>
      </c>
      <c r="T290">
        <v>22383</v>
      </c>
      <c r="U290">
        <v>20349</v>
      </c>
      <c r="V290">
        <v>18498</v>
      </c>
      <c r="W290">
        <v>16817</v>
      </c>
      <c r="X290">
        <v>15288</v>
      </c>
      <c r="Y290">
        <v>13899</v>
      </c>
      <c r="Z290">
        <v>12635</v>
      </c>
      <c r="AA290">
        <v>11487</v>
      </c>
      <c r="AB290">
        <v>10443</v>
      </c>
      <c r="AC290">
        <v>9494</v>
      </c>
      <c r="AD290">
        <v>8630</v>
      </c>
      <c r="AE290">
        <v>7846</v>
      </c>
      <c r="AF290">
        <v>5492</v>
      </c>
      <c r="AG290">
        <v>3844</v>
      </c>
    </row>
    <row r="291" spans="2:33" outlineLevel="1" x14ac:dyDescent="0.2">
      <c r="B291" t="s">
        <v>155</v>
      </c>
      <c r="C291" t="str">
        <f t="shared" si="3"/>
        <v>NeedleTowerHarvester L10</v>
      </c>
      <c r="D291" s="1" t="s">
        <v>238</v>
      </c>
      <c r="E291" s="2">
        <v>10</v>
      </c>
      <c r="F291" s="18">
        <v>1</v>
      </c>
      <c r="G291" s="48">
        <v>24398</v>
      </c>
      <c r="H291" s="48"/>
      <c r="I291" s="49">
        <v>24398</v>
      </c>
      <c r="J291" s="24">
        <v>762.4375</v>
      </c>
      <c r="K291" s="22">
        <v>1.3115829166325109E-3</v>
      </c>
      <c r="L291" s="53" t="s">
        <v>160</v>
      </c>
      <c r="N291">
        <v>47641</v>
      </c>
      <c r="O291">
        <v>72183</v>
      </c>
      <c r="P291">
        <v>65621</v>
      </c>
      <c r="Q291">
        <v>59655</v>
      </c>
      <c r="R291">
        <v>54232</v>
      </c>
      <c r="S291">
        <v>49302</v>
      </c>
      <c r="T291">
        <v>44820</v>
      </c>
      <c r="U291">
        <v>40746</v>
      </c>
      <c r="V291">
        <v>37042</v>
      </c>
      <c r="W291">
        <v>33675</v>
      </c>
      <c r="X291">
        <v>30613</v>
      </c>
      <c r="Y291">
        <v>27830</v>
      </c>
      <c r="Z291">
        <v>25301</v>
      </c>
      <c r="AA291">
        <v>23001</v>
      </c>
      <c r="AB291">
        <v>20910</v>
      </c>
      <c r="AC291">
        <v>19009</v>
      </c>
      <c r="AD291">
        <v>17281</v>
      </c>
      <c r="AE291">
        <v>15710</v>
      </c>
      <c r="AF291">
        <v>14282</v>
      </c>
      <c r="AG291">
        <v>9997</v>
      </c>
    </row>
    <row r="292" spans="2:33" outlineLevel="1" x14ac:dyDescent="0.2">
      <c r="B292" t="s">
        <v>155</v>
      </c>
      <c r="C292" t="str">
        <f t="shared" si="3"/>
        <v>NeedleTowerHarvester L11</v>
      </c>
      <c r="D292" s="1" t="s">
        <v>238</v>
      </c>
      <c r="E292" s="2">
        <v>11</v>
      </c>
      <c r="F292" s="18">
        <v>1</v>
      </c>
      <c r="G292" s="48">
        <v>43917</v>
      </c>
      <c r="H292" s="48"/>
      <c r="I292" s="49">
        <v>43917</v>
      </c>
      <c r="J292" s="24">
        <v>1372.40625</v>
      </c>
      <c r="K292" s="22">
        <v>7.2864722089395907E-4</v>
      </c>
      <c r="L292" s="53" t="s">
        <v>160</v>
      </c>
      <c r="N292">
        <v>95410</v>
      </c>
      <c r="O292">
        <v>144560</v>
      </c>
      <c r="P292">
        <v>131419</v>
      </c>
      <c r="Q292">
        <v>119472</v>
      </c>
      <c r="R292">
        <v>108610</v>
      </c>
      <c r="S292">
        <v>98737</v>
      </c>
      <c r="T292">
        <v>89760</v>
      </c>
      <c r="U292">
        <v>81600</v>
      </c>
      <c r="V292">
        <v>74182</v>
      </c>
      <c r="W292">
        <v>67438</v>
      </c>
      <c r="X292">
        <v>61307</v>
      </c>
      <c r="Y292">
        <v>55734</v>
      </c>
      <c r="Z292">
        <v>50667</v>
      </c>
      <c r="AA292">
        <v>46061</v>
      </c>
      <c r="AB292">
        <v>41873</v>
      </c>
      <c r="AC292">
        <v>38067</v>
      </c>
      <c r="AD292">
        <v>34606</v>
      </c>
      <c r="AE292">
        <v>31460</v>
      </c>
      <c r="AF292">
        <v>28600</v>
      </c>
      <c r="AG292">
        <v>26000</v>
      </c>
    </row>
    <row r="293" spans="2:33" outlineLevel="1" x14ac:dyDescent="0.2">
      <c r="B293" t="s">
        <v>155</v>
      </c>
      <c r="C293" t="str">
        <f t="shared" si="3"/>
        <v>NeedleTowerHarvester L12</v>
      </c>
      <c r="D293" s="1" t="s">
        <v>238</v>
      </c>
      <c r="E293" s="2">
        <v>12</v>
      </c>
      <c r="F293" s="18">
        <v>1</v>
      </c>
      <c r="G293" s="48">
        <v>79050</v>
      </c>
      <c r="H293" s="48"/>
      <c r="I293" s="49">
        <v>79050</v>
      </c>
      <c r="J293" s="24">
        <v>2470.3125</v>
      </c>
      <c r="K293" s="22">
        <v>4.0480708412397219E-4</v>
      </c>
      <c r="L293" s="53" t="s">
        <v>160</v>
      </c>
      <c r="N293">
        <v>171600</v>
      </c>
      <c r="O293">
        <v>260000</v>
      </c>
      <c r="P293">
        <v>236167</v>
      </c>
      <c r="Q293">
        <v>215584</v>
      </c>
      <c r="R293">
        <v>195000</v>
      </c>
      <c r="S293">
        <v>177667</v>
      </c>
      <c r="T293">
        <v>161417</v>
      </c>
      <c r="U293">
        <v>147334</v>
      </c>
      <c r="V293">
        <v>133250</v>
      </c>
      <c r="W293">
        <v>121334</v>
      </c>
      <c r="X293">
        <v>110500</v>
      </c>
      <c r="Y293">
        <v>100750</v>
      </c>
      <c r="Z293">
        <v>91000</v>
      </c>
      <c r="AA293">
        <v>83417</v>
      </c>
      <c r="AB293">
        <v>75834</v>
      </c>
      <c r="AC293">
        <v>68250</v>
      </c>
      <c r="AD293">
        <v>61750</v>
      </c>
      <c r="AE293">
        <v>56334</v>
      </c>
      <c r="AF293">
        <v>52000</v>
      </c>
      <c r="AG293">
        <v>46584</v>
      </c>
    </row>
    <row r="294" spans="2:33" outlineLevel="1" x14ac:dyDescent="0.2">
      <c r="B294" t="s">
        <v>155</v>
      </c>
      <c r="C294" t="str">
        <f t="shared" si="3"/>
        <v>NeedleTowerHarvester L13</v>
      </c>
      <c r="D294" s="1" t="s">
        <v>238</v>
      </c>
      <c r="E294" s="2">
        <v>13</v>
      </c>
      <c r="F294" s="18">
        <v>1</v>
      </c>
      <c r="G294" s="48">
        <v>142290</v>
      </c>
      <c r="H294" s="48"/>
      <c r="I294" s="49">
        <v>142290</v>
      </c>
      <c r="J294" s="24">
        <v>4446.5625</v>
      </c>
      <c r="K294" s="22">
        <v>2.2489282451331786E-4</v>
      </c>
      <c r="L294" s="53" t="s">
        <v>160</v>
      </c>
      <c r="N294">
        <v>308751</v>
      </c>
      <c r="O294">
        <v>468000</v>
      </c>
      <c r="P294">
        <v>424667</v>
      </c>
      <c r="Q294">
        <v>387834</v>
      </c>
      <c r="R294">
        <v>351000</v>
      </c>
      <c r="S294">
        <v>319584</v>
      </c>
      <c r="T294">
        <v>290334</v>
      </c>
      <c r="U294">
        <v>265417</v>
      </c>
      <c r="V294">
        <v>239417</v>
      </c>
      <c r="W294">
        <v>218834</v>
      </c>
      <c r="X294">
        <v>199334</v>
      </c>
      <c r="Y294">
        <v>180917</v>
      </c>
      <c r="Z294">
        <v>163584</v>
      </c>
      <c r="AA294">
        <v>150584</v>
      </c>
      <c r="AB294">
        <v>136500</v>
      </c>
      <c r="AC294">
        <v>122417</v>
      </c>
      <c r="AD294">
        <v>111584</v>
      </c>
      <c r="AE294">
        <v>101834</v>
      </c>
      <c r="AF294">
        <v>93167</v>
      </c>
      <c r="AG294">
        <v>83417</v>
      </c>
    </row>
    <row r="295" spans="2:33" outlineLevel="1" x14ac:dyDescent="0.2">
      <c r="B295" t="s">
        <v>155</v>
      </c>
      <c r="C295" t="str">
        <f t="shared" si="3"/>
        <v>NeedleTowerHarvester L14</v>
      </c>
      <c r="D295" s="1" t="s">
        <v>238</v>
      </c>
      <c r="E295" s="2">
        <v>14</v>
      </c>
      <c r="F295" s="18">
        <v>1</v>
      </c>
      <c r="G295" s="48">
        <v>256122</v>
      </c>
      <c r="H295" s="48"/>
      <c r="I295" s="49">
        <v>256122</v>
      </c>
      <c r="J295" s="24">
        <v>8003.8125</v>
      </c>
      <c r="K295" s="22">
        <v>1.2494045806295438E-4</v>
      </c>
      <c r="L295" s="53" t="s">
        <v>160</v>
      </c>
      <c r="N295">
        <v>555750</v>
      </c>
      <c r="O295">
        <v>842834</v>
      </c>
      <c r="P295">
        <v>764834</v>
      </c>
      <c r="Q295">
        <v>697667</v>
      </c>
      <c r="R295">
        <v>631584</v>
      </c>
      <c r="S295">
        <v>575250</v>
      </c>
      <c r="T295">
        <v>522167</v>
      </c>
      <c r="U295">
        <v>477750</v>
      </c>
      <c r="V295">
        <v>431167</v>
      </c>
      <c r="W295">
        <v>394334</v>
      </c>
      <c r="X295">
        <v>358584</v>
      </c>
      <c r="Y295">
        <v>326084</v>
      </c>
      <c r="Z295">
        <v>294667</v>
      </c>
      <c r="AA295">
        <v>270834</v>
      </c>
      <c r="AB295">
        <v>245917</v>
      </c>
      <c r="AC295">
        <v>219917</v>
      </c>
      <c r="AD295">
        <v>200417</v>
      </c>
      <c r="AE295">
        <v>183084</v>
      </c>
      <c r="AF295">
        <v>167917</v>
      </c>
      <c r="AG295">
        <v>150584</v>
      </c>
    </row>
    <row r="296" spans="2:33" outlineLevel="1" x14ac:dyDescent="0.2">
      <c r="B296" t="s">
        <v>155</v>
      </c>
      <c r="C296" t="str">
        <f t="shared" si="3"/>
        <v>NeedleTowerHarvester L15</v>
      </c>
      <c r="D296" s="1" t="s">
        <v>238</v>
      </c>
      <c r="E296" s="2">
        <v>15</v>
      </c>
      <c r="F296" s="18">
        <v>1</v>
      </c>
      <c r="G296" s="48">
        <v>461020</v>
      </c>
      <c r="H296" s="48"/>
      <c r="I296" s="49">
        <v>461020</v>
      </c>
      <c r="J296" s="24">
        <v>14406.875</v>
      </c>
      <c r="K296" s="22">
        <v>6.9411305366361541E-5</v>
      </c>
      <c r="L296" s="53" t="s">
        <v>160</v>
      </c>
      <c r="N296">
        <v>1000350</v>
      </c>
      <c r="O296">
        <v>1516667</v>
      </c>
      <c r="P296">
        <v>1376917</v>
      </c>
      <c r="Q296">
        <v>1255584</v>
      </c>
      <c r="R296">
        <v>1136417</v>
      </c>
      <c r="S296">
        <v>1035667</v>
      </c>
      <c r="T296">
        <v>940334</v>
      </c>
      <c r="U296">
        <v>860167</v>
      </c>
      <c r="V296">
        <v>775667</v>
      </c>
      <c r="W296">
        <v>709584</v>
      </c>
      <c r="X296">
        <v>645667</v>
      </c>
      <c r="Y296">
        <v>587167</v>
      </c>
      <c r="Z296">
        <v>530834</v>
      </c>
      <c r="AA296">
        <v>487500</v>
      </c>
      <c r="AB296">
        <v>443084</v>
      </c>
      <c r="AC296">
        <v>395417</v>
      </c>
      <c r="AD296">
        <v>360750</v>
      </c>
      <c r="AE296">
        <v>329334</v>
      </c>
      <c r="AF296">
        <v>302250</v>
      </c>
      <c r="AG296">
        <v>270834</v>
      </c>
    </row>
    <row r="297" spans="2:33" outlineLevel="1" x14ac:dyDescent="0.2">
      <c r="B297" t="s">
        <v>155</v>
      </c>
      <c r="C297" t="str">
        <f t="shared" si="3"/>
        <v>NeedleTowerHarvester L16</v>
      </c>
      <c r="D297" s="1" t="s">
        <v>238</v>
      </c>
      <c r="E297" s="2">
        <v>16</v>
      </c>
      <c r="F297" s="18">
        <v>1</v>
      </c>
      <c r="G297" s="48">
        <v>829837</v>
      </c>
      <c r="H297" s="48"/>
      <c r="I297" s="49">
        <v>829837</v>
      </c>
      <c r="J297" s="24">
        <v>25932.40625</v>
      </c>
      <c r="K297" s="22">
        <v>3.8561789845475678E-5</v>
      </c>
      <c r="L297" s="53" t="s">
        <v>160</v>
      </c>
      <c r="N297">
        <v>1800501</v>
      </c>
      <c r="O297">
        <v>2730000</v>
      </c>
      <c r="P297">
        <v>2478667</v>
      </c>
      <c r="Q297">
        <v>2259834</v>
      </c>
      <c r="R297">
        <v>2045334</v>
      </c>
      <c r="S297">
        <v>1864417</v>
      </c>
      <c r="T297">
        <v>1692167</v>
      </c>
      <c r="U297">
        <v>1548084</v>
      </c>
      <c r="V297">
        <v>1396417</v>
      </c>
      <c r="W297">
        <v>1277250</v>
      </c>
      <c r="X297">
        <v>1162417</v>
      </c>
      <c r="Y297">
        <v>1057334</v>
      </c>
      <c r="Z297">
        <v>955500</v>
      </c>
      <c r="AA297">
        <v>877500</v>
      </c>
      <c r="AB297">
        <v>797334</v>
      </c>
      <c r="AC297">
        <v>711750</v>
      </c>
      <c r="AD297">
        <v>648917</v>
      </c>
      <c r="AE297">
        <v>592584</v>
      </c>
      <c r="AF297">
        <v>543834</v>
      </c>
      <c r="AG297">
        <v>487500</v>
      </c>
    </row>
    <row r="298" spans="2:33" outlineLevel="1" x14ac:dyDescent="0.2">
      <c r="B298" t="s">
        <v>155</v>
      </c>
      <c r="C298" t="str">
        <f t="shared" si="3"/>
        <v>NeedleTowerHarvester L17</v>
      </c>
      <c r="D298" s="1" t="s">
        <v>238</v>
      </c>
      <c r="E298" s="2">
        <v>17</v>
      </c>
      <c r="F298" s="18">
        <v>1</v>
      </c>
      <c r="G298" s="48">
        <v>1493706</v>
      </c>
      <c r="H298" s="48"/>
      <c r="I298" s="49">
        <v>1493706</v>
      </c>
      <c r="J298" s="24">
        <v>46678.3125</v>
      </c>
      <c r="K298" s="22">
        <v>2.1423225186214691E-5</v>
      </c>
      <c r="L298" s="53" t="s">
        <v>160</v>
      </c>
      <c r="N298">
        <v>3240900</v>
      </c>
      <c r="O298">
        <v>4914000</v>
      </c>
      <c r="P298">
        <v>4461167</v>
      </c>
      <c r="Q298">
        <v>4067917</v>
      </c>
      <c r="R298">
        <v>3681167</v>
      </c>
      <c r="S298">
        <v>3356167</v>
      </c>
      <c r="T298">
        <v>3046334</v>
      </c>
      <c r="U298">
        <v>2786334</v>
      </c>
      <c r="V298">
        <v>2513334</v>
      </c>
      <c r="W298">
        <v>2298834</v>
      </c>
      <c r="X298">
        <v>2091917</v>
      </c>
      <c r="Y298">
        <v>1903417</v>
      </c>
      <c r="Z298">
        <v>1720334</v>
      </c>
      <c r="AA298">
        <v>1579500</v>
      </c>
      <c r="AB298">
        <v>1435417</v>
      </c>
      <c r="AC298">
        <v>1281584</v>
      </c>
      <c r="AD298">
        <v>1167834</v>
      </c>
      <c r="AE298">
        <v>1067084</v>
      </c>
      <c r="AF298">
        <v>979334</v>
      </c>
      <c r="AG298">
        <v>877500</v>
      </c>
    </row>
    <row r="299" spans="2:33" outlineLevel="1" x14ac:dyDescent="0.2">
      <c r="B299" t="s">
        <v>155</v>
      </c>
      <c r="C299" t="str">
        <f t="shared" si="3"/>
        <v>NeedleTowerHarvester L18</v>
      </c>
      <c r="D299" s="1" t="s">
        <v>238</v>
      </c>
      <c r="E299" s="2">
        <v>18</v>
      </c>
      <c r="F299" s="18">
        <v>1</v>
      </c>
      <c r="G299" s="48">
        <v>2688671</v>
      </c>
      <c r="H299" s="48"/>
      <c r="I299" s="49">
        <v>2688671</v>
      </c>
      <c r="J299" s="24">
        <v>84020.96875</v>
      </c>
      <c r="K299" s="22">
        <v>1.1901790884790292E-5</v>
      </c>
      <c r="L299" s="53" t="s">
        <v>160</v>
      </c>
      <c r="N299">
        <v>5833751</v>
      </c>
      <c r="O299">
        <v>8845417</v>
      </c>
      <c r="P299">
        <v>8029667</v>
      </c>
      <c r="Q299">
        <v>7322250</v>
      </c>
      <c r="R299">
        <v>6625667</v>
      </c>
      <c r="S299">
        <v>6040667</v>
      </c>
      <c r="T299">
        <v>5483834</v>
      </c>
      <c r="U299">
        <v>5015834</v>
      </c>
      <c r="V299">
        <v>4524000</v>
      </c>
      <c r="W299">
        <v>4138334</v>
      </c>
      <c r="X299">
        <v>3765667</v>
      </c>
      <c r="Y299">
        <v>3426584</v>
      </c>
      <c r="Z299">
        <v>3096167</v>
      </c>
      <c r="AA299">
        <v>2842667</v>
      </c>
      <c r="AB299">
        <v>2583750</v>
      </c>
      <c r="AC299">
        <v>2306417</v>
      </c>
      <c r="AD299">
        <v>2101667</v>
      </c>
      <c r="AE299">
        <v>1920750</v>
      </c>
      <c r="AF299">
        <v>1762584</v>
      </c>
      <c r="AG299">
        <v>1579500</v>
      </c>
    </row>
    <row r="300" spans="2:33" outlineLevel="1" x14ac:dyDescent="0.2">
      <c r="B300" t="s">
        <v>155</v>
      </c>
      <c r="C300" t="str">
        <f t="shared" si="3"/>
        <v>NeedleTowerHarvester L19</v>
      </c>
      <c r="D300" s="1" t="s">
        <v>238</v>
      </c>
      <c r="E300" s="2">
        <v>19</v>
      </c>
      <c r="F300" s="18">
        <v>1</v>
      </c>
      <c r="G300" s="48">
        <v>4839608</v>
      </c>
      <c r="H300" s="48"/>
      <c r="I300" s="49">
        <v>4839608</v>
      </c>
      <c r="J300" s="24">
        <v>151237.75</v>
      </c>
      <c r="K300" s="22">
        <v>6.6121057738560643E-6</v>
      </c>
      <c r="L300" s="53" t="s">
        <v>160</v>
      </c>
      <c r="N300">
        <v>10500750</v>
      </c>
      <c r="O300">
        <v>15921750</v>
      </c>
      <c r="P300">
        <v>14453834</v>
      </c>
      <c r="Q300">
        <v>13179834</v>
      </c>
      <c r="R300">
        <v>11926417</v>
      </c>
      <c r="S300">
        <v>10873417</v>
      </c>
      <c r="T300">
        <v>9871334</v>
      </c>
      <c r="U300">
        <v>9028500</v>
      </c>
      <c r="V300">
        <v>8143417</v>
      </c>
      <c r="W300">
        <v>7449000</v>
      </c>
      <c r="X300">
        <v>6778417</v>
      </c>
      <c r="Y300">
        <v>6167417</v>
      </c>
      <c r="Z300">
        <v>5572667</v>
      </c>
      <c r="AA300">
        <v>5116584</v>
      </c>
      <c r="AB300">
        <v>4650750</v>
      </c>
      <c r="AC300">
        <v>4151334</v>
      </c>
      <c r="AD300">
        <v>3783000</v>
      </c>
      <c r="AE300">
        <v>3456917</v>
      </c>
      <c r="AF300">
        <v>3173084</v>
      </c>
      <c r="AG300">
        <v>2842667</v>
      </c>
    </row>
    <row r="301" spans="2:33" s="37" customFormat="1" outlineLevel="1" x14ac:dyDescent="0.2">
      <c r="B301" s="37" t="s">
        <v>155</v>
      </c>
      <c r="C301" s="37" t="str">
        <f t="shared" si="3"/>
        <v>NeedleTowerHarvester L20</v>
      </c>
      <c r="D301" s="38" t="s">
        <v>238</v>
      </c>
      <c r="E301" s="39">
        <v>20</v>
      </c>
      <c r="F301" s="40">
        <v>1</v>
      </c>
      <c r="G301" s="51">
        <v>8711295</v>
      </c>
      <c r="H301" s="51"/>
      <c r="I301" s="52">
        <v>8711295</v>
      </c>
      <c r="J301" s="42">
        <v>272227.96875</v>
      </c>
      <c r="K301" s="43">
        <v>3.6733918435777917E-6</v>
      </c>
      <c r="L301" s="55" t="s">
        <v>160</v>
      </c>
      <c r="N301" s="37">
        <v>18901350</v>
      </c>
      <c r="O301" s="37">
        <v>28659584</v>
      </c>
      <c r="P301" s="37">
        <v>26017334</v>
      </c>
      <c r="Q301" s="37">
        <v>23723917</v>
      </c>
      <c r="R301" s="37">
        <v>21467334</v>
      </c>
      <c r="S301" s="37">
        <v>19572584</v>
      </c>
      <c r="T301" s="37">
        <v>17768834</v>
      </c>
      <c r="U301" s="37">
        <v>16251084</v>
      </c>
      <c r="V301" s="37">
        <v>14658584</v>
      </c>
      <c r="W301" s="37">
        <v>13408417</v>
      </c>
      <c r="X301" s="37">
        <v>12201584</v>
      </c>
      <c r="Y301" s="37">
        <v>11100917</v>
      </c>
      <c r="Z301" s="37">
        <v>10030584</v>
      </c>
      <c r="AA301" s="37">
        <v>9209417</v>
      </c>
      <c r="AB301" s="37">
        <v>8370917</v>
      </c>
      <c r="AC301" s="37">
        <v>7472834</v>
      </c>
      <c r="AD301" s="37">
        <v>6809834</v>
      </c>
      <c r="AE301" s="37">
        <v>6222667</v>
      </c>
      <c r="AF301" s="37">
        <v>5711334</v>
      </c>
      <c r="AG301" s="37">
        <v>5116584</v>
      </c>
    </row>
    <row r="302" spans="2:33" x14ac:dyDescent="0.2">
      <c r="B302" t="s">
        <v>155</v>
      </c>
      <c r="C302" t="str">
        <f t="shared" si="3"/>
        <v>VoidTowerHarvester L1</v>
      </c>
      <c r="D302" s="1" t="s">
        <v>239</v>
      </c>
      <c r="E302" s="2">
        <v>1</v>
      </c>
      <c r="F302" s="18">
        <v>1</v>
      </c>
      <c r="G302" s="50">
        <v>175</v>
      </c>
      <c r="H302" s="50"/>
      <c r="I302" s="49">
        <v>175</v>
      </c>
      <c r="J302" s="24">
        <v>5.46875</v>
      </c>
      <c r="K302" s="22">
        <v>0.18285714285714286</v>
      </c>
      <c r="L302" s="5" t="s">
        <v>161</v>
      </c>
      <c r="N302">
        <v>64</v>
      </c>
      <c r="O302">
        <v>96</v>
      </c>
      <c r="P302">
        <v>87</v>
      </c>
      <c r="Q302">
        <v>80</v>
      </c>
      <c r="R302">
        <v>72</v>
      </c>
      <c r="S302">
        <v>65</v>
      </c>
      <c r="T302">
        <v>46</v>
      </c>
      <c r="U302">
        <v>32</v>
      </c>
      <c r="V302">
        <v>22</v>
      </c>
      <c r="W302">
        <v>16</v>
      </c>
      <c r="X302">
        <v>11</v>
      </c>
      <c r="Y302">
        <v>8</v>
      </c>
      <c r="Z302">
        <v>6</v>
      </c>
      <c r="AA302">
        <v>5</v>
      </c>
      <c r="AB302">
        <v>4</v>
      </c>
      <c r="AC302">
        <v>3</v>
      </c>
      <c r="AD302">
        <v>2</v>
      </c>
      <c r="AE302">
        <v>2</v>
      </c>
      <c r="AF302">
        <v>2</v>
      </c>
      <c r="AG302">
        <v>2</v>
      </c>
    </row>
    <row r="303" spans="2:33" outlineLevel="1" x14ac:dyDescent="0.2">
      <c r="B303" t="s">
        <v>155</v>
      </c>
      <c r="C303" t="str">
        <f t="shared" si="3"/>
        <v>VoidTowerHarvester L2</v>
      </c>
      <c r="D303" s="1" t="s">
        <v>239</v>
      </c>
      <c r="E303" s="2">
        <v>2</v>
      </c>
      <c r="F303" s="18">
        <v>1</v>
      </c>
      <c r="G303" s="48">
        <v>315</v>
      </c>
      <c r="H303" s="48"/>
      <c r="I303" s="49">
        <v>315</v>
      </c>
      <c r="J303" s="24">
        <v>9.84375</v>
      </c>
      <c r="K303" s="22">
        <v>0.10158730158730159</v>
      </c>
      <c r="L303" s="53" t="s">
        <v>161</v>
      </c>
      <c r="N303">
        <v>140</v>
      </c>
      <c r="O303">
        <v>212</v>
      </c>
      <c r="P303">
        <v>192</v>
      </c>
      <c r="Q303">
        <v>175</v>
      </c>
      <c r="R303">
        <v>159</v>
      </c>
      <c r="S303">
        <v>145</v>
      </c>
      <c r="T303">
        <v>132</v>
      </c>
      <c r="U303">
        <v>120</v>
      </c>
      <c r="V303">
        <v>84</v>
      </c>
      <c r="W303">
        <v>59</v>
      </c>
      <c r="X303">
        <v>42</v>
      </c>
      <c r="Y303">
        <v>30</v>
      </c>
      <c r="Z303">
        <v>21</v>
      </c>
      <c r="AA303">
        <v>15</v>
      </c>
      <c r="AB303">
        <v>10</v>
      </c>
      <c r="AC303">
        <v>7</v>
      </c>
      <c r="AD303">
        <v>5</v>
      </c>
      <c r="AE303">
        <v>4</v>
      </c>
      <c r="AF303">
        <v>3</v>
      </c>
      <c r="AG303">
        <v>2</v>
      </c>
    </row>
    <row r="304" spans="2:33" outlineLevel="1" x14ac:dyDescent="0.2">
      <c r="B304" t="s">
        <v>155</v>
      </c>
      <c r="C304" t="str">
        <f t="shared" si="3"/>
        <v>VoidTowerHarvester L3</v>
      </c>
      <c r="D304" s="1" t="s">
        <v>239</v>
      </c>
      <c r="E304" s="2">
        <v>3</v>
      </c>
      <c r="F304" s="18">
        <v>1</v>
      </c>
      <c r="G304" s="48">
        <v>567</v>
      </c>
      <c r="H304" s="48"/>
      <c r="I304" s="49">
        <v>567</v>
      </c>
      <c r="J304" s="24">
        <v>17.71875</v>
      </c>
      <c r="K304" s="22">
        <v>5.6437389770723101E-2</v>
      </c>
      <c r="L304" s="53" t="s">
        <v>161</v>
      </c>
      <c r="N304">
        <v>306</v>
      </c>
      <c r="O304">
        <v>463</v>
      </c>
      <c r="P304">
        <v>421</v>
      </c>
      <c r="Q304">
        <v>383</v>
      </c>
      <c r="R304">
        <v>348</v>
      </c>
      <c r="S304">
        <v>317</v>
      </c>
      <c r="T304">
        <v>288</v>
      </c>
      <c r="U304">
        <v>262</v>
      </c>
      <c r="V304">
        <v>238</v>
      </c>
      <c r="W304">
        <v>216</v>
      </c>
      <c r="X304">
        <v>151</v>
      </c>
      <c r="Y304">
        <v>106</v>
      </c>
      <c r="Z304">
        <v>74</v>
      </c>
      <c r="AA304">
        <v>52</v>
      </c>
      <c r="AB304">
        <v>37</v>
      </c>
      <c r="AC304">
        <v>26</v>
      </c>
      <c r="AD304">
        <v>19</v>
      </c>
      <c r="AE304">
        <v>13</v>
      </c>
      <c r="AF304">
        <v>9</v>
      </c>
      <c r="AG304">
        <v>7</v>
      </c>
    </row>
    <row r="305" spans="2:33" outlineLevel="1" x14ac:dyDescent="0.2">
      <c r="B305" t="s">
        <v>155</v>
      </c>
      <c r="C305" t="str">
        <f t="shared" si="3"/>
        <v>VoidTowerHarvester L4</v>
      </c>
      <c r="D305" s="1" t="s">
        <v>239</v>
      </c>
      <c r="E305" s="2">
        <v>4</v>
      </c>
      <c r="F305" s="18">
        <v>1</v>
      </c>
      <c r="G305" s="48">
        <v>1021</v>
      </c>
      <c r="H305" s="48"/>
      <c r="I305" s="49">
        <v>1021</v>
      </c>
      <c r="J305" s="24">
        <v>31.90625</v>
      </c>
      <c r="K305" s="22">
        <v>3.1341821743388835E-2</v>
      </c>
      <c r="L305" s="53" t="s">
        <v>161</v>
      </c>
      <c r="N305">
        <v>612</v>
      </c>
      <c r="O305">
        <v>927</v>
      </c>
      <c r="P305">
        <v>842</v>
      </c>
      <c r="Q305">
        <v>765</v>
      </c>
      <c r="R305">
        <v>696</v>
      </c>
      <c r="S305">
        <v>633</v>
      </c>
      <c r="T305">
        <v>576</v>
      </c>
      <c r="U305">
        <v>524</v>
      </c>
      <c r="V305">
        <v>476</v>
      </c>
      <c r="W305">
        <v>433</v>
      </c>
      <c r="X305">
        <v>394</v>
      </c>
      <c r="Y305">
        <v>276</v>
      </c>
      <c r="Z305">
        <v>193</v>
      </c>
      <c r="AA305">
        <v>136</v>
      </c>
      <c r="AB305">
        <v>96</v>
      </c>
      <c r="AC305">
        <v>68</v>
      </c>
      <c r="AD305">
        <v>47</v>
      </c>
      <c r="AE305">
        <v>33</v>
      </c>
      <c r="AF305">
        <v>23</v>
      </c>
      <c r="AG305">
        <v>17</v>
      </c>
    </row>
    <row r="306" spans="2:33" outlineLevel="1" x14ac:dyDescent="0.2">
      <c r="B306" t="s">
        <v>155</v>
      </c>
      <c r="C306" t="str">
        <f t="shared" si="3"/>
        <v>VoidTowerHarvester L5</v>
      </c>
      <c r="D306" s="1" t="s">
        <v>239</v>
      </c>
      <c r="E306" s="2">
        <v>5</v>
      </c>
      <c r="F306" s="18">
        <v>1</v>
      </c>
      <c r="G306" s="48">
        <v>1837</v>
      </c>
      <c r="H306" s="48"/>
      <c r="I306" s="49">
        <v>1837</v>
      </c>
      <c r="J306" s="24">
        <v>57.40625</v>
      </c>
      <c r="K306" s="22">
        <v>1.7419706042460535E-2</v>
      </c>
      <c r="L306" s="53" t="s">
        <v>161</v>
      </c>
      <c r="N306">
        <v>1349</v>
      </c>
      <c r="O306">
        <v>2043</v>
      </c>
      <c r="P306">
        <v>1857</v>
      </c>
      <c r="Q306">
        <v>1688</v>
      </c>
      <c r="R306">
        <v>1534</v>
      </c>
      <c r="S306">
        <v>1395</v>
      </c>
      <c r="T306">
        <v>1268</v>
      </c>
      <c r="U306">
        <v>1153</v>
      </c>
      <c r="V306">
        <v>1048</v>
      </c>
      <c r="W306">
        <v>953</v>
      </c>
      <c r="X306">
        <v>866</v>
      </c>
      <c r="Y306">
        <v>787</v>
      </c>
      <c r="Z306">
        <v>715</v>
      </c>
      <c r="AA306">
        <v>501</v>
      </c>
      <c r="AB306">
        <v>350</v>
      </c>
      <c r="AC306">
        <v>245</v>
      </c>
      <c r="AD306">
        <v>172</v>
      </c>
      <c r="AE306">
        <v>121</v>
      </c>
      <c r="AF306">
        <v>85</v>
      </c>
      <c r="AG306">
        <v>60</v>
      </c>
    </row>
    <row r="307" spans="2:33" outlineLevel="1" x14ac:dyDescent="0.2">
      <c r="B307" t="s">
        <v>155</v>
      </c>
      <c r="C307" t="str">
        <f t="shared" si="3"/>
        <v>VoidTowerHarvester L6</v>
      </c>
      <c r="D307" s="1" t="s">
        <v>239</v>
      </c>
      <c r="E307" s="2">
        <v>6</v>
      </c>
      <c r="F307" s="18">
        <v>1</v>
      </c>
      <c r="G307" s="48">
        <v>3307</v>
      </c>
      <c r="H307" s="48"/>
      <c r="I307" s="49">
        <v>3307</v>
      </c>
      <c r="J307" s="24">
        <v>103.34375</v>
      </c>
      <c r="K307" s="22">
        <v>9.6764439068642277E-3</v>
      </c>
      <c r="L307" s="53" t="s">
        <v>161</v>
      </c>
      <c r="N307">
        <v>2963</v>
      </c>
      <c r="O307">
        <v>4489</v>
      </c>
      <c r="P307">
        <v>4080</v>
      </c>
      <c r="Q307">
        <v>3710</v>
      </c>
      <c r="R307">
        <v>3373</v>
      </c>
      <c r="S307">
        <v>3066</v>
      </c>
      <c r="T307">
        <v>2788</v>
      </c>
      <c r="U307">
        <v>2534</v>
      </c>
      <c r="V307">
        <v>2304</v>
      </c>
      <c r="W307">
        <v>2095</v>
      </c>
      <c r="X307">
        <v>1904</v>
      </c>
      <c r="Y307">
        <v>1731</v>
      </c>
      <c r="Z307">
        <v>1573</v>
      </c>
      <c r="AA307">
        <v>1430</v>
      </c>
      <c r="AB307">
        <v>1300</v>
      </c>
      <c r="AC307">
        <v>910</v>
      </c>
      <c r="AD307">
        <v>637</v>
      </c>
      <c r="AE307">
        <v>447</v>
      </c>
      <c r="AF307">
        <v>312</v>
      </c>
      <c r="AG307">
        <v>219</v>
      </c>
    </row>
    <row r="308" spans="2:33" outlineLevel="1" x14ac:dyDescent="0.2">
      <c r="B308" t="s">
        <v>155</v>
      </c>
      <c r="C308" t="str">
        <f t="shared" si="3"/>
        <v>VoidTowerHarvester L7</v>
      </c>
      <c r="D308" s="1" t="s">
        <v>239</v>
      </c>
      <c r="E308" s="2">
        <v>7</v>
      </c>
      <c r="F308" s="18">
        <v>1</v>
      </c>
      <c r="G308" s="48">
        <v>5952</v>
      </c>
      <c r="H308" s="48"/>
      <c r="I308" s="49">
        <v>5952</v>
      </c>
      <c r="J308" s="24">
        <v>186</v>
      </c>
      <c r="K308" s="22">
        <v>5.3763440860215058E-3</v>
      </c>
      <c r="L308" s="53" t="s">
        <v>161</v>
      </c>
      <c r="N308">
        <v>5933</v>
      </c>
      <c r="O308">
        <v>8989</v>
      </c>
      <c r="P308">
        <v>8172</v>
      </c>
      <c r="Q308">
        <v>7429</v>
      </c>
      <c r="R308">
        <v>6754</v>
      </c>
      <c r="S308">
        <v>6140</v>
      </c>
      <c r="T308">
        <v>5582</v>
      </c>
      <c r="U308">
        <v>5075</v>
      </c>
      <c r="V308">
        <v>4613</v>
      </c>
      <c r="W308">
        <v>4194</v>
      </c>
      <c r="X308">
        <v>3813</v>
      </c>
      <c r="Y308">
        <v>3466</v>
      </c>
      <c r="Z308">
        <v>3151</v>
      </c>
      <c r="AA308">
        <v>2865</v>
      </c>
      <c r="AB308">
        <v>2605</v>
      </c>
      <c r="AC308">
        <v>2368</v>
      </c>
      <c r="AD308">
        <v>1658</v>
      </c>
      <c r="AE308">
        <v>1161</v>
      </c>
      <c r="AF308">
        <v>813</v>
      </c>
      <c r="AG308">
        <v>569</v>
      </c>
    </row>
    <row r="309" spans="2:33" outlineLevel="1" x14ac:dyDescent="0.2">
      <c r="B309" t="s">
        <v>155</v>
      </c>
      <c r="C309" t="str">
        <f t="shared" si="3"/>
        <v>VoidTowerHarvester L8</v>
      </c>
      <c r="D309" s="1" t="s">
        <v>239</v>
      </c>
      <c r="E309" s="2">
        <v>8</v>
      </c>
      <c r="F309" s="18">
        <v>1</v>
      </c>
      <c r="G309" s="48">
        <v>10714</v>
      </c>
      <c r="H309" s="48"/>
      <c r="I309" s="49">
        <v>10714</v>
      </c>
      <c r="J309" s="24">
        <v>334.8125</v>
      </c>
      <c r="K309" s="22">
        <v>2.9867463132350197E-3</v>
      </c>
      <c r="L309" s="53" t="s">
        <v>161</v>
      </c>
      <c r="N309">
        <v>11885</v>
      </c>
      <c r="O309">
        <v>18007</v>
      </c>
      <c r="P309">
        <v>16370</v>
      </c>
      <c r="Q309">
        <v>14881</v>
      </c>
      <c r="R309">
        <v>13528</v>
      </c>
      <c r="S309">
        <v>12298</v>
      </c>
      <c r="T309">
        <v>11180</v>
      </c>
      <c r="U309">
        <v>10164</v>
      </c>
      <c r="V309">
        <v>9240</v>
      </c>
      <c r="W309">
        <v>8401</v>
      </c>
      <c r="X309">
        <v>7637</v>
      </c>
      <c r="Y309">
        <v>6942</v>
      </c>
      <c r="Z309">
        <v>6311</v>
      </c>
      <c r="AA309">
        <v>5737</v>
      </c>
      <c r="AB309">
        <v>5216</v>
      </c>
      <c r="AC309">
        <v>4741</v>
      </c>
      <c r="AD309">
        <v>4310</v>
      </c>
      <c r="AE309">
        <v>3018</v>
      </c>
      <c r="AF309">
        <v>2113</v>
      </c>
      <c r="AG309">
        <v>1479</v>
      </c>
    </row>
    <row r="310" spans="2:33" outlineLevel="1" x14ac:dyDescent="0.2">
      <c r="B310" t="s">
        <v>155</v>
      </c>
      <c r="C310" t="str">
        <f t="shared" si="3"/>
        <v>VoidTowerHarvester L9</v>
      </c>
      <c r="D310" s="1" t="s">
        <v>239</v>
      </c>
      <c r="E310" s="2">
        <v>9</v>
      </c>
      <c r="F310" s="18">
        <v>1</v>
      </c>
      <c r="G310" s="48">
        <v>19285</v>
      </c>
      <c r="H310" s="48"/>
      <c r="I310" s="49">
        <v>19285</v>
      </c>
      <c r="J310" s="24">
        <v>602.65625</v>
      </c>
      <c r="K310" s="22">
        <v>1.6593207155820586E-3</v>
      </c>
      <c r="L310" s="53" t="s">
        <v>161</v>
      </c>
      <c r="N310">
        <v>23793</v>
      </c>
      <c r="O310">
        <v>36048</v>
      </c>
      <c r="P310">
        <v>32771</v>
      </c>
      <c r="Q310">
        <v>29792</v>
      </c>
      <c r="R310">
        <v>27084</v>
      </c>
      <c r="S310">
        <v>24621</v>
      </c>
      <c r="T310">
        <v>22383</v>
      </c>
      <c r="U310">
        <v>20349</v>
      </c>
      <c r="V310">
        <v>18498</v>
      </c>
      <c r="W310">
        <v>16817</v>
      </c>
      <c r="X310">
        <v>15288</v>
      </c>
      <c r="Y310">
        <v>13899</v>
      </c>
      <c r="Z310">
        <v>12635</v>
      </c>
      <c r="AA310">
        <v>11487</v>
      </c>
      <c r="AB310">
        <v>10443</v>
      </c>
      <c r="AC310">
        <v>9494</v>
      </c>
      <c r="AD310">
        <v>8630</v>
      </c>
      <c r="AE310">
        <v>7846</v>
      </c>
      <c r="AF310">
        <v>5492</v>
      </c>
      <c r="AG310">
        <v>3844</v>
      </c>
    </row>
    <row r="311" spans="2:33" outlineLevel="1" x14ac:dyDescent="0.2">
      <c r="B311" t="s">
        <v>155</v>
      </c>
      <c r="C311" t="str">
        <f t="shared" si="3"/>
        <v>VoidTowerHarvester L10</v>
      </c>
      <c r="D311" s="1" t="s">
        <v>239</v>
      </c>
      <c r="E311" s="2">
        <v>10</v>
      </c>
      <c r="F311" s="18">
        <v>1</v>
      </c>
      <c r="G311" s="48">
        <v>34713</v>
      </c>
      <c r="H311" s="48"/>
      <c r="I311" s="49">
        <v>34713</v>
      </c>
      <c r="J311" s="24">
        <v>1084.78125</v>
      </c>
      <c r="K311" s="22">
        <v>9.2184484199003261E-4</v>
      </c>
      <c r="L311" s="53" t="s">
        <v>161</v>
      </c>
      <c r="N311">
        <v>47641</v>
      </c>
      <c r="O311">
        <v>72183</v>
      </c>
      <c r="P311">
        <v>65621</v>
      </c>
      <c r="Q311">
        <v>59655</v>
      </c>
      <c r="R311">
        <v>54232</v>
      </c>
      <c r="S311">
        <v>49302</v>
      </c>
      <c r="T311">
        <v>44820</v>
      </c>
      <c r="U311">
        <v>40746</v>
      </c>
      <c r="V311">
        <v>37042</v>
      </c>
      <c r="W311">
        <v>33675</v>
      </c>
      <c r="X311">
        <v>30613</v>
      </c>
      <c r="Y311">
        <v>27830</v>
      </c>
      <c r="Z311">
        <v>25301</v>
      </c>
      <c r="AA311">
        <v>23001</v>
      </c>
      <c r="AB311">
        <v>20910</v>
      </c>
      <c r="AC311">
        <v>19009</v>
      </c>
      <c r="AD311">
        <v>17281</v>
      </c>
      <c r="AE311">
        <v>15710</v>
      </c>
      <c r="AF311">
        <v>14282</v>
      </c>
      <c r="AG311">
        <v>9997</v>
      </c>
    </row>
    <row r="312" spans="2:33" outlineLevel="1" x14ac:dyDescent="0.2">
      <c r="B312" t="s">
        <v>155</v>
      </c>
      <c r="C312" t="str">
        <f t="shared" si="3"/>
        <v>VoidTowerHarvester L11</v>
      </c>
      <c r="D312" s="1" t="s">
        <v>239</v>
      </c>
      <c r="E312" s="2">
        <v>11</v>
      </c>
      <c r="F312" s="18">
        <v>1</v>
      </c>
      <c r="G312" s="48">
        <v>62483</v>
      </c>
      <c r="H312" s="48"/>
      <c r="I312" s="49">
        <v>62483</v>
      </c>
      <c r="J312" s="24">
        <v>1952.59375</v>
      </c>
      <c r="K312" s="22">
        <v>5.1213930189011414E-4</v>
      </c>
      <c r="L312" s="53" t="s">
        <v>161</v>
      </c>
      <c r="N312">
        <v>95410</v>
      </c>
      <c r="O312">
        <v>144560</v>
      </c>
      <c r="P312">
        <v>131419</v>
      </c>
      <c r="Q312">
        <v>119472</v>
      </c>
      <c r="R312">
        <v>108610</v>
      </c>
      <c r="S312">
        <v>98737</v>
      </c>
      <c r="T312">
        <v>89760</v>
      </c>
      <c r="U312">
        <v>81600</v>
      </c>
      <c r="V312">
        <v>74182</v>
      </c>
      <c r="W312">
        <v>67438</v>
      </c>
      <c r="X312">
        <v>61307</v>
      </c>
      <c r="Y312">
        <v>55734</v>
      </c>
      <c r="Z312">
        <v>50667</v>
      </c>
      <c r="AA312">
        <v>46061</v>
      </c>
      <c r="AB312">
        <v>41873</v>
      </c>
      <c r="AC312">
        <v>38067</v>
      </c>
      <c r="AD312">
        <v>34606</v>
      </c>
      <c r="AE312">
        <v>31460</v>
      </c>
      <c r="AF312">
        <v>28600</v>
      </c>
      <c r="AG312">
        <v>26000</v>
      </c>
    </row>
    <row r="313" spans="2:33" outlineLevel="1" x14ac:dyDescent="0.2">
      <c r="B313" t="s">
        <v>155</v>
      </c>
      <c r="C313" t="str">
        <f t="shared" si="3"/>
        <v>VoidTowerHarvester L12</v>
      </c>
      <c r="D313" s="1" t="s">
        <v>239</v>
      </c>
      <c r="E313" s="2">
        <v>12</v>
      </c>
      <c r="F313" s="18">
        <v>1</v>
      </c>
      <c r="G313" s="48">
        <v>112470</v>
      </c>
      <c r="H313" s="48"/>
      <c r="I313" s="49">
        <v>112470</v>
      </c>
      <c r="J313" s="24">
        <v>3514.6875</v>
      </c>
      <c r="K313" s="22">
        <v>2.8452031652885214E-4</v>
      </c>
      <c r="L313" s="53" t="s">
        <v>161</v>
      </c>
      <c r="N313">
        <v>171600</v>
      </c>
      <c r="O313">
        <v>260000</v>
      </c>
      <c r="P313">
        <v>236167</v>
      </c>
      <c r="Q313">
        <v>215584</v>
      </c>
      <c r="R313">
        <v>195000</v>
      </c>
      <c r="S313">
        <v>177667</v>
      </c>
      <c r="T313">
        <v>161417</v>
      </c>
      <c r="U313">
        <v>147334</v>
      </c>
      <c r="V313">
        <v>133250</v>
      </c>
      <c r="W313">
        <v>121334</v>
      </c>
      <c r="X313">
        <v>110500</v>
      </c>
      <c r="Y313">
        <v>100750</v>
      </c>
      <c r="Z313">
        <v>91000</v>
      </c>
      <c r="AA313">
        <v>83417</v>
      </c>
      <c r="AB313">
        <v>75834</v>
      </c>
      <c r="AC313">
        <v>68250</v>
      </c>
      <c r="AD313">
        <v>61750</v>
      </c>
      <c r="AE313">
        <v>56334</v>
      </c>
      <c r="AF313">
        <v>52000</v>
      </c>
      <c r="AG313">
        <v>46584</v>
      </c>
    </row>
    <row r="314" spans="2:33" outlineLevel="1" x14ac:dyDescent="0.2">
      <c r="B314" t="s">
        <v>155</v>
      </c>
      <c r="C314" t="str">
        <f t="shared" si="3"/>
        <v>VoidTowerHarvester L13</v>
      </c>
      <c r="D314" s="1" t="s">
        <v>239</v>
      </c>
      <c r="E314" s="2">
        <v>13</v>
      </c>
      <c r="F314" s="18">
        <v>1</v>
      </c>
      <c r="G314" s="48">
        <v>202445</v>
      </c>
      <c r="H314" s="48"/>
      <c r="I314" s="49">
        <v>202445</v>
      </c>
      <c r="J314" s="24">
        <v>6326.40625</v>
      </c>
      <c r="K314" s="22">
        <v>1.5806762330509522E-4</v>
      </c>
      <c r="L314" s="53" t="s">
        <v>161</v>
      </c>
      <c r="N314">
        <v>308751</v>
      </c>
      <c r="O314">
        <v>468000</v>
      </c>
      <c r="P314">
        <v>424667</v>
      </c>
      <c r="Q314">
        <v>387834</v>
      </c>
      <c r="R314">
        <v>351000</v>
      </c>
      <c r="S314">
        <v>319584</v>
      </c>
      <c r="T314">
        <v>290334</v>
      </c>
      <c r="U314">
        <v>265417</v>
      </c>
      <c r="V314">
        <v>239417</v>
      </c>
      <c r="W314">
        <v>218834</v>
      </c>
      <c r="X314">
        <v>199334</v>
      </c>
      <c r="Y314">
        <v>180917</v>
      </c>
      <c r="Z314">
        <v>163584</v>
      </c>
      <c r="AA314">
        <v>150584</v>
      </c>
      <c r="AB314">
        <v>136500</v>
      </c>
      <c r="AC314">
        <v>122417</v>
      </c>
      <c r="AD314">
        <v>111584</v>
      </c>
      <c r="AE314">
        <v>101834</v>
      </c>
      <c r="AF314">
        <v>93167</v>
      </c>
      <c r="AG314">
        <v>83417</v>
      </c>
    </row>
    <row r="315" spans="2:33" outlineLevel="1" x14ac:dyDescent="0.2">
      <c r="B315" t="s">
        <v>155</v>
      </c>
      <c r="C315" t="str">
        <f t="shared" si="3"/>
        <v>VoidTowerHarvester L14</v>
      </c>
      <c r="D315" s="1" t="s">
        <v>239</v>
      </c>
      <c r="E315" s="2">
        <v>14</v>
      </c>
      <c r="F315" s="18">
        <v>1</v>
      </c>
      <c r="G315" s="48">
        <v>364402</v>
      </c>
      <c r="H315" s="48"/>
      <c r="I315" s="49">
        <v>364402</v>
      </c>
      <c r="J315" s="24">
        <v>11387.5625</v>
      </c>
      <c r="K315" s="22">
        <v>8.7815105295799693E-5</v>
      </c>
      <c r="L315" s="53" t="s">
        <v>161</v>
      </c>
      <c r="N315">
        <v>555750</v>
      </c>
      <c r="O315">
        <v>842834</v>
      </c>
      <c r="P315">
        <v>764834</v>
      </c>
      <c r="Q315">
        <v>697667</v>
      </c>
      <c r="R315">
        <v>631584</v>
      </c>
      <c r="S315">
        <v>575250</v>
      </c>
      <c r="T315">
        <v>522167</v>
      </c>
      <c r="U315">
        <v>477750</v>
      </c>
      <c r="V315">
        <v>431167</v>
      </c>
      <c r="W315">
        <v>394334</v>
      </c>
      <c r="X315">
        <v>358584</v>
      </c>
      <c r="Y315">
        <v>326084</v>
      </c>
      <c r="Z315">
        <v>294667</v>
      </c>
      <c r="AA315">
        <v>270834</v>
      </c>
      <c r="AB315">
        <v>245917</v>
      </c>
      <c r="AC315">
        <v>219917</v>
      </c>
      <c r="AD315">
        <v>200417</v>
      </c>
      <c r="AE315">
        <v>183084</v>
      </c>
      <c r="AF315">
        <v>167917</v>
      </c>
      <c r="AG315">
        <v>150584</v>
      </c>
    </row>
    <row r="316" spans="2:33" outlineLevel="1" x14ac:dyDescent="0.2">
      <c r="B316" t="s">
        <v>155</v>
      </c>
      <c r="C316" t="str">
        <f t="shared" si="3"/>
        <v>VoidTowerHarvester L15</v>
      </c>
      <c r="D316" s="1" t="s">
        <v>239</v>
      </c>
      <c r="E316" s="2">
        <v>15</v>
      </c>
      <c r="F316" s="18">
        <v>1</v>
      </c>
      <c r="G316" s="48">
        <v>655923</v>
      </c>
      <c r="H316" s="48"/>
      <c r="I316" s="49">
        <v>655923</v>
      </c>
      <c r="J316" s="24">
        <v>20497.59375</v>
      </c>
      <c r="K316" s="22">
        <v>4.8786214235512397E-5</v>
      </c>
      <c r="L316" s="53" t="s">
        <v>161</v>
      </c>
      <c r="N316">
        <v>1000350</v>
      </c>
      <c r="O316">
        <v>1516667</v>
      </c>
      <c r="P316">
        <v>1376917</v>
      </c>
      <c r="Q316">
        <v>1255584</v>
      </c>
      <c r="R316">
        <v>1136417</v>
      </c>
      <c r="S316">
        <v>1035667</v>
      </c>
      <c r="T316">
        <v>940334</v>
      </c>
      <c r="U316">
        <v>860167</v>
      </c>
      <c r="V316">
        <v>775667</v>
      </c>
      <c r="W316">
        <v>709584</v>
      </c>
      <c r="X316">
        <v>645667</v>
      </c>
      <c r="Y316">
        <v>587167</v>
      </c>
      <c r="Z316">
        <v>530834</v>
      </c>
      <c r="AA316">
        <v>487500</v>
      </c>
      <c r="AB316">
        <v>443084</v>
      </c>
      <c r="AC316">
        <v>395417</v>
      </c>
      <c r="AD316">
        <v>360750</v>
      </c>
      <c r="AE316">
        <v>329334</v>
      </c>
      <c r="AF316">
        <v>302250</v>
      </c>
      <c r="AG316">
        <v>270834</v>
      </c>
    </row>
    <row r="317" spans="2:33" outlineLevel="1" x14ac:dyDescent="0.2">
      <c r="B317" t="s">
        <v>155</v>
      </c>
      <c r="C317" t="str">
        <f t="shared" si="3"/>
        <v>VoidTowerHarvester L16</v>
      </c>
      <c r="D317" s="1" t="s">
        <v>239</v>
      </c>
      <c r="E317" s="2">
        <v>16</v>
      </c>
      <c r="F317" s="18">
        <v>1</v>
      </c>
      <c r="G317" s="48">
        <v>1180662</v>
      </c>
      <c r="H317" s="48"/>
      <c r="I317" s="49">
        <v>1180662</v>
      </c>
      <c r="J317" s="24">
        <v>36895.6875</v>
      </c>
      <c r="K317" s="22">
        <v>2.7103438579373266E-5</v>
      </c>
      <c r="L317" s="53" t="s">
        <v>161</v>
      </c>
      <c r="N317">
        <v>1800501</v>
      </c>
      <c r="O317">
        <v>2730000</v>
      </c>
      <c r="P317">
        <v>2478667</v>
      </c>
      <c r="Q317">
        <v>2259834</v>
      </c>
      <c r="R317">
        <v>2045334</v>
      </c>
      <c r="S317">
        <v>1864417</v>
      </c>
      <c r="T317">
        <v>1692167</v>
      </c>
      <c r="U317">
        <v>1548084</v>
      </c>
      <c r="V317">
        <v>1396417</v>
      </c>
      <c r="W317">
        <v>1277250</v>
      </c>
      <c r="X317">
        <v>1162417</v>
      </c>
      <c r="Y317">
        <v>1057334</v>
      </c>
      <c r="Z317">
        <v>955500</v>
      </c>
      <c r="AA317">
        <v>877500</v>
      </c>
      <c r="AB317">
        <v>797334</v>
      </c>
      <c r="AC317">
        <v>711750</v>
      </c>
      <c r="AD317">
        <v>648917</v>
      </c>
      <c r="AE317">
        <v>592584</v>
      </c>
      <c r="AF317">
        <v>543834</v>
      </c>
      <c r="AG317">
        <v>487500</v>
      </c>
    </row>
    <row r="318" spans="2:33" outlineLevel="1" x14ac:dyDescent="0.2">
      <c r="B318" t="s">
        <v>155</v>
      </c>
      <c r="C318" t="str">
        <f t="shared" si="3"/>
        <v>VoidTowerHarvester L17</v>
      </c>
      <c r="D318" s="1" t="s">
        <v>239</v>
      </c>
      <c r="E318" s="2">
        <v>17</v>
      </c>
      <c r="F318" s="18">
        <v>1</v>
      </c>
      <c r="G318" s="48">
        <v>2125192</v>
      </c>
      <c r="H318" s="48"/>
      <c r="I318" s="49">
        <v>2125192</v>
      </c>
      <c r="J318" s="24">
        <v>66412.25</v>
      </c>
      <c r="K318" s="22">
        <v>1.5057463043339144E-5</v>
      </c>
      <c r="L318" s="53" t="s">
        <v>161</v>
      </c>
      <c r="N318">
        <v>3240900</v>
      </c>
      <c r="O318">
        <v>4914000</v>
      </c>
      <c r="P318">
        <v>4461167</v>
      </c>
      <c r="Q318">
        <v>4067917</v>
      </c>
      <c r="R318">
        <v>3681167</v>
      </c>
      <c r="S318">
        <v>3356167</v>
      </c>
      <c r="T318">
        <v>3046334</v>
      </c>
      <c r="U318">
        <v>2786334</v>
      </c>
      <c r="V318">
        <v>2513334</v>
      </c>
      <c r="W318">
        <v>2298834</v>
      </c>
      <c r="X318">
        <v>2091917</v>
      </c>
      <c r="Y318">
        <v>1903417</v>
      </c>
      <c r="Z318">
        <v>1720334</v>
      </c>
      <c r="AA318">
        <v>1579500</v>
      </c>
      <c r="AB318">
        <v>1435417</v>
      </c>
      <c r="AC318">
        <v>1281584</v>
      </c>
      <c r="AD318">
        <v>1167834</v>
      </c>
      <c r="AE318">
        <v>1067084</v>
      </c>
      <c r="AF318">
        <v>979334</v>
      </c>
      <c r="AG318">
        <v>877500</v>
      </c>
    </row>
    <row r="319" spans="2:33" outlineLevel="1" x14ac:dyDescent="0.2">
      <c r="B319" t="s">
        <v>155</v>
      </c>
      <c r="C319" t="str">
        <f t="shared" si="3"/>
        <v>VoidTowerHarvester L18</v>
      </c>
      <c r="D319" s="1" t="s">
        <v>239</v>
      </c>
      <c r="E319" s="2">
        <v>18</v>
      </c>
      <c r="F319" s="18">
        <v>1</v>
      </c>
      <c r="G319" s="48">
        <v>3825345</v>
      </c>
      <c r="H319" s="48"/>
      <c r="I319" s="49">
        <v>3825345</v>
      </c>
      <c r="J319" s="24">
        <v>119542.03125</v>
      </c>
      <c r="K319" s="22">
        <v>8.3652585583783942E-6</v>
      </c>
      <c r="L319" s="53" t="s">
        <v>161</v>
      </c>
      <c r="N319">
        <v>5833751</v>
      </c>
      <c r="O319">
        <v>8845417</v>
      </c>
      <c r="P319">
        <v>8029667</v>
      </c>
      <c r="Q319">
        <v>7322250</v>
      </c>
      <c r="R319">
        <v>6625667</v>
      </c>
      <c r="S319">
        <v>6040667</v>
      </c>
      <c r="T319">
        <v>5483834</v>
      </c>
      <c r="U319">
        <v>5015834</v>
      </c>
      <c r="V319">
        <v>4524000</v>
      </c>
      <c r="W319">
        <v>4138334</v>
      </c>
      <c r="X319">
        <v>3765667</v>
      </c>
      <c r="Y319">
        <v>3426584</v>
      </c>
      <c r="Z319">
        <v>3096167</v>
      </c>
      <c r="AA319">
        <v>2842667</v>
      </c>
      <c r="AB319">
        <v>2583750</v>
      </c>
      <c r="AC319">
        <v>2306417</v>
      </c>
      <c r="AD319">
        <v>2101667</v>
      </c>
      <c r="AE319">
        <v>1920750</v>
      </c>
      <c r="AF319">
        <v>1762584</v>
      </c>
      <c r="AG319">
        <v>1579500</v>
      </c>
    </row>
    <row r="320" spans="2:33" outlineLevel="1" x14ac:dyDescent="0.2">
      <c r="B320" t="s">
        <v>155</v>
      </c>
      <c r="C320" t="str">
        <f t="shared" si="3"/>
        <v>VoidTowerHarvester L19</v>
      </c>
      <c r="D320" s="1" t="s">
        <v>239</v>
      </c>
      <c r="E320" s="2">
        <v>19</v>
      </c>
      <c r="F320" s="18">
        <v>1</v>
      </c>
      <c r="G320" s="48">
        <v>6885621</v>
      </c>
      <c r="H320" s="48"/>
      <c r="I320" s="49">
        <v>6885621</v>
      </c>
      <c r="J320" s="24">
        <v>215175.65625</v>
      </c>
      <c r="K320" s="22">
        <v>4.6473658657657744E-6</v>
      </c>
      <c r="L320" s="53" t="s">
        <v>161</v>
      </c>
      <c r="N320">
        <v>10500750</v>
      </c>
      <c r="O320">
        <v>15921750</v>
      </c>
      <c r="P320">
        <v>14453834</v>
      </c>
      <c r="Q320">
        <v>13179834</v>
      </c>
      <c r="R320">
        <v>11926417</v>
      </c>
      <c r="S320">
        <v>10873417</v>
      </c>
      <c r="T320">
        <v>9871334</v>
      </c>
      <c r="U320">
        <v>9028500</v>
      </c>
      <c r="V320">
        <v>8143417</v>
      </c>
      <c r="W320">
        <v>7449000</v>
      </c>
      <c r="X320">
        <v>6778417</v>
      </c>
      <c r="Y320">
        <v>6167417</v>
      </c>
      <c r="Z320">
        <v>5572667</v>
      </c>
      <c r="AA320">
        <v>5116584</v>
      </c>
      <c r="AB320">
        <v>4650750</v>
      </c>
      <c r="AC320">
        <v>4151334</v>
      </c>
      <c r="AD320">
        <v>3783000</v>
      </c>
      <c r="AE320">
        <v>3456917</v>
      </c>
      <c r="AF320">
        <v>3173084</v>
      </c>
      <c r="AG320">
        <v>2842667</v>
      </c>
    </row>
    <row r="321" spans="2:33" outlineLevel="1" x14ac:dyDescent="0.2">
      <c r="B321" t="s">
        <v>155</v>
      </c>
      <c r="C321" t="str">
        <f t="shared" si="3"/>
        <v>VoidTowerHarvester L20</v>
      </c>
      <c r="D321" s="1" t="s">
        <v>239</v>
      </c>
      <c r="E321" s="2">
        <v>20</v>
      </c>
      <c r="F321" s="18">
        <v>1</v>
      </c>
      <c r="G321" s="48">
        <v>12394119</v>
      </c>
      <c r="H321" s="48"/>
      <c r="I321" s="49">
        <v>12394119</v>
      </c>
      <c r="J321" s="24">
        <v>387316.21875</v>
      </c>
      <c r="K321" s="22">
        <v>2.5818696754484929E-6</v>
      </c>
      <c r="L321" s="53" t="s">
        <v>161</v>
      </c>
      <c r="N321">
        <v>18901350</v>
      </c>
      <c r="O321">
        <v>28659584</v>
      </c>
      <c r="P321">
        <v>26017334</v>
      </c>
      <c r="Q321">
        <v>23723917</v>
      </c>
      <c r="R321">
        <v>21467334</v>
      </c>
      <c r="S321">
        <v>19572584</v>
      </c>
      <c r="T321">
        <v>17768834</v>
      </c>
      <c r="U321">
        <v>16251084</v>
      </c>
      <c r="V321">
        <v>14658584</v>
      </c>
      <c r="W321">
        <v>13408417</v>
      </c>
      <c r="X321">
        <v>12201584</v>
      </c>
      <c r="Y321">
        <v>11100917</v>
      </c>
      <c r="Z321">
        <v>10030584</v>
      </c>
      <c r="AA321">
        <v>9209417</v>
      </c>
      <c r="AB321">
        <v>8370917</v>
      </c>
      <c r="AC321">
        <v>7472834</v>
      </c>
      <c r="AD321">
        <v>6809834</v>
      </c>
      <c r="AE321">
        <v>6222667</v>
      </c>
      <c r="AF321">
        <v>5711334</v>
      </c>
      <c r="AG321">
        <v>5116584</v>
      </c>
    </row>
    <row r="322" spans="2:33" s="27" customFormat="1" x14ac:dyDescent="0.2">
      <c r="B322" s="27" t="s">
        <v>155</v>
      </c>
      <c r="C322" s="27" t="str">
        <f t="shared" si="3"/>
        <v>SkyshotTowerHarvester L1</v>
      </c>
      <c r="D322" s="29" t="s">
        <v>240</v>
      </c>
      <c r="E322" s="30">
        <v>1</v>
      </c>
      <c r="F322" s="31">
        <v>1</v>
      </c>
      <c r="G322" s="54">
        <v>140</v>
      </c>
      <c r="H322" s="54"/>
      <c r="I322" s="47">
        <v>140</v>
      </c>
      <c r="J322" s="33">
        <v>4.375</v>
      </c>
      <c r="K322" s="34">
        <v>0.22857142857142856</v>
      </c>
      <c r="L322" s="35" t="s">
        <v>162</v>
      </c>
      <c r="N322" s="27">
        <v>64</v>
      </c>
      <c r="O322" s="27">
        <v>96</v>
      </c>
      <c r="P322" s="27">
        <v>87</v>
      </c>
      <c r="Q322" s="27">
        <v>80</v>
      </c>
      <c r="R322" s="27">
        <v>72</v>
      </c>
      <c r="S322" s="27">
        <v>65</v>
      </c>
      <c r="T322" s="27">
        <v>46</v>
      </c>
      <c r="U322" s="27">
        <v>32</v>
      </c>
      <c r="V322" s="27">
        <v>22</v>
      </c>
      <c r="W322" s="27">
        <v>16</v>
      </c>
      <c r="X322" s="27">
        <v>11</v>
      </c>
      <c r="Y322" s="27">
        <v>8</v>
      </c>
      <c r="Z322" s="27">
        <v>6</v>
      </c>
      <c r="AA322" s="27">
        <v>5</v>
      </c>
      <c r="AB322" s="27">
        <v>4</v>
      </c>
      <c r="AC322" s="27">
        <v>3</v>
      </c>
      <c r="AD322" s="27">
        <v>2</v>
      </c>
      <c r="AE322" s="27">
        <v>2</v>
      </c>
      <c r="AF322" s="27">
        <v>2</v>
      </c>
      <c r="AG322" s="27">
        <v>2</v>
      </c>
    </row>
    <row r="323" spans="2:33" outlineLevel="1" x14ac:dyDescent="0.2">
      <c r="B323" t="s">
        <v>155</v>
      </c>
      <c r="C323" t="str">
        <f t="shared" si="3"/>
        <v>SkyshotTowerHarvester L2</v>
      </c>
      <c r="D323" s="1" t="s">
        <v>240</v>
      </c>
      <c r="E323" s="2">
        <v>2</v>
      </c>
      <c r="F323" s="18">
        <v>1</v>
      </c>
      <c r="G323" s="48">
        <v>252</v>
      </c>
      <c r="H323" s="48"/>
      <c r="I323" s="49">
        <v>252</v>
      </c>
      <c r="J323" s="24">
        <v>7.875</v>
      </c>
      <c r="K323" s="22">
        <v>0.12698412698412698</v>
      </c>
      <c r="L323" s="53" t="s">
        <v>162</v>
      </c>
      <c r="N323">
        <v>140</v>
      </c>
      <c r="O323">
        <v>212</v>
      </c>
      <c r="P323">
        <v>192</v>
      </c>
      <c r="Q323">
        <v>175</v>
      </c>
      <c r="R323">
        <v>159</v>
      </c>
      <c r="S323">
        <v>145</v>
      </c>
      <c r="T323">
        <v>132</v>
      </c>
      <c r="U323">
        <v>120</v>
      </c>
      <c r="V323">
        <v>84</v>
      </c>
      <c r="W323">
        <v>59</v>
      </c>
      <c r="X323">
        <v>42</v>
      </c>
      <c r="Y323">
        <v>30</v>
      </c>
      <c r="Z323">
        <v>21</v>
      </c>
      <c r="AA323">
        <v>15</v>
      </c>
      <c r="AB323">
        <v>10</v>
      </c>
      <c r="AC323">
        <v>7</v>
      </c>
      <c r="AD323">
        <v>5</v>
      </c>
      <c r="AE323">
        <v>4</v>
      </c>
      <c r="AF323">
        <v>3</v>
      </c>
      <c r="AG323">
        <v>2</v>
      </c>
    </row>
    <row r="324" spans="2:33" outlineLevel="1" x14ac:dyDescent="0.2">
      <c r="B324" t="s">
        <v>155</v>
      </c>
      <c r="C324" t="str">
        <f t="shared" si="3"/>
        <v>SkyshotTowerHarvester L3</v>
      </c>
      <c r="D324" s="1" t="s">
        <v>240</v>
      </c>
      <c r="E324" s="2">
        <v>3</v>
      </c>
      <c r="F324" s="18">
        <v>1</v>
      </c>
      <c r="G324" s="48">
        <v>454</v>
      </c>
      <c r="H324" s="48"/>
      <c r="I324" s="49">
        <v>454</v>
      </c>
      <c r="J324" s="24">
        <v>14.1875</v>
      </c>
      <c r="K324" s="22">
        <v>7.0484581497797363E-2</v>
      </c>
      <c r="L324" s="53" t="s">
        <v>162</v>
      </c>
      <c r="N324">
        <v>306</v>
      </c>
      <c r="O324">
        <v>463</v>
      </c>
      <c r="P324">
        <v>421</v>
      </c>
      <c r="Q324">
        <v>383</v>
      </c>
      <c r="R324">
        <v>348</v>
      </c>
      <c r="S324">
        <v>317</v>
      </c>
      <c r="T324">
        <v>288</v>
      </c>
      <c r="U324">
        <v>262</v>
      </c>
      <c r="V324">
        <v>238</v>
      </c>
      <c r="W324">
        <v>216</v>
      </c>
      <c r="X324">
        <v>151</v>
      </c>
      <c r="Y324">
        <v>106</v>
      </c>
      <c r="Z324">
        <v>74</v>
      </c>
      <c r="AA324">
        <v>52</v>
      </c>
      <c r="AB324">
        <v>37</v>
      </c>
      <c r="AC324">
        <v>26</v>
      </c>
      <c r="AD324">
        <v>19</v>
      </c>
      <c r="AE324">
        <v>13</v>
      </c>
      <c r="AF324">
        <v>9</v>
      </c>
      <c r="AG324">
        <v>7</v>
      </c>
    </row>
    <row r="325" spans="2:33" outlineLevel="1" x14ac:dyDescent="0.2">
      <c r="B325" t="s">
        <v>155</v>
      </c>
      <c r="C325" t="str">
        <f t="shared" si="3"/>
        <v>SkyshotTowerHarvester L4</v>
      </c>
      <c r="D325" s="1" t="s">
        <v>240</v>
      </c>
      <c r="E325" s="2">
        <v>4</v>
      </c>
      <c r="F325" s="18">
        <v>1</v>
      </c>
      <c r="G325" s="48">
        <v>816</v>
      </c>
      <c r="H325" s="48"/>
      <c r="I325" s="49">
        <v>816</v>
      </c>
      <c r="J325" s="24">
        <v>25.5</v>
      </c>
      <c r="K325" s="22">
        <v>3.9215686274509803E-2</v>
      </c>
      <c r="L325" s="53" t="s">
        <v>162</v>
      </c>
      <c r="N325">
        <v>612</v>
      </c>
      <c r="O325">
        <v>927</v>
      </c>
      <c r="P325">
        <v>842</v>
      </c>
      <c r="Q325">
        <v>765</v>
      </c>
      <c r="R325">
        <v>696</v>
      </c>
      <c r="S325">
        <v>633</v>
      </c>
      <c r="T325">
        <v>576</v>
      </c>
      <c r="U325">
        <v>524</v>
      </c>
      <c r="V325">
        <v>476</v>
      </c>
      <c r="W325">
        <v>433</v>
      </c>
      <c r="X325">
        <v>394</v>
      </c>
      <c r="Y325">
        <v>276</v>
      </c>
      <c r="Z325">
        <v>193</v>
      </c>
      <c r="AA325">
        <v>136</v>
      </c>
      <c r="AB325">
        <v>96</v>
      </c>
      <c r="AC325">
        <v>68</v>
      </c>
      <c r="AD325">
        <v>47</v>
      </c>
      <c r="AE325">
        <v>33</v>
      </c>
      <c r="AF325">
        <v>23</v>
      </c>
      <c r="AG325">
        <v>17</v>
      </c>
    </row>
    <row r="326" spans="2:33" outlineLevel="1" x14ac:dyDescent="0.2">
      <c r="B326" t="s">
        <v>155</v>
      </c>
      <c r="C326" t="str">
        <f t="shared" si="3"/>
        <v>SkyshotTowerHarvester L5</v>
      </c>
      <c r="D326" s="1" t="s">
        <v>240</v>
      </c>
      <c r="E326" s="2">
        <v>5</v>
      </c>
      <c r="F326" s="18">
        <v>1</v>
      </c>
      <c r="G326" s="48">
        <v>1470</v>
      </c>
      <c r="H326" s="48"/>
      <c r="I326" s="49">
        <v>1470</v>
      </c>
      <c r="J326" s="24">
        <v>45.9375</v>
      </c>
      <c r="K326" s="22">
        <v>2.1768707482993196E-2</v>
      </c>
      <c r="L326" s="53" t="s">
        <v>162</v>
      </c>
      <c r="N326">
        <v>1349</v>
      </c>
      <c r="O326">
        <v>2043</v>
      </c>
      <c r="P326">
        <v>1857</v>
      </c>
      <c r="Q326">
        <v>1688</v>
      </c>
      <c r="R326">
        <v>1534</v>
      </c>
      <c r="S326">
        <v>1395</v>
      </c>
      <c r="T326">
        <v>1268</v>
      </c>
      <c r="U326">
        <v>1153</v>
      </c>
      <c r="V326">
        <v>1048</v>
      </c>
      <c r="W326">
        <v>953</v>
      </c>
      <c r="X326">
        <v>866</v>
      </c>
      <c r="Y326">
        <v>787</v>
      </c>
      <c r="Z326">
        <v>715</v>
      </c>
      <c r="AA326">
        <v>501</v>
      </c>
      <c r="AB326">
        <v>350</v>
      </c>
      <c r="AC326">
        <v>245</v>
      </c>
      <c r="AD326">
        <v>172</v>
      </c>
      <c r="AE326">
        <v>121</v>
      </c>
      <c r="AF326">
        <v>85</v>
      </c>
      <c r="AG326">
        <v>60</v>
      </c>
    </row>
    <row r="327" spans="2:33" outlineLevel="1" x14ac:dyDescent="0.2">
      <c r="B327" t="s">
        <v>155</v>
      </c>
      <c r="C327" t="str">
        <f t="shared" si="3"/>
        <v>SkyshotTowerHarvester L6</v>
      </c>
      <c r="D327" s="1" t="s">
        <v>240</v>
      </c>
      <c r="E327" s="2">
        <v>6</v>
      </c>
      <c r="F327" s="18">
        <v>1</v>
      </c>
      <c r="G327" s="48">
        <v>2645</v>
      </c>
      <c r="H327" s="48"/>
      <c r="I327" s="49">
        <v>2645</v>
      </c>
      <c r="J327" s="24">
        <v>82.65625</v>
      </c>
      <c r="K327" s="22">
        <v>1.2098298676748583E-2</v>
      </c>
      <c r="L327" s="53" t="s">
        <v>162</v>
      </c>
      <c r="N327">
        <v>2963</v>
      </c>
      <c r="O327">
        <v>4489</v>
      </c>
      <c r="P327">
        <v>4080</v>
      </c>
      <c r="Q327">
        <v>3710</v>
      </c>
      <c r="R327">
        <v>3373</v>
      </c>
      <c r="S327">
        <v>3066</v>
      </c>
      <c r="T327">
        <v>2788</v>
      </c>
      <c r="U327">
        <v>2534</v>
      </c>
      <c r="V327">
        <v>2304</v>
      </c>
      <c r="W327">
        <v>2095</v>
      </c>
      <c r="X327">
        <v>1904</v>
      </c>
      <c r="Y327">
        <v>1731</v>
      </c>
      <c r="Z327">
        <v>1573</v>
      </c>
      <c r="AA327">
        <v>1430</v>
      </c>
      <c r="AB327">
        <v>1300</v>
      </c>
      <c r="AC327">
        <v>910</v>
      </c>
      <c r="AD327">
        <v>637</v>
      </c>
      <c r="AE327">
        <v>447</v>
      </c>
      <c r="AF327">
        <v>312</v>
      </c>
      <c r="AG327">
        <v>219</v>
      </c>
    </row>
    <row r="328" spans="2:33" outlineLevel="1" x14ac:dyDescent="0.2">
      <c r="B328" t="s">
        <v>155</v>
      </c>
      <c r="C328" t="str">
        <f t="shared" si="3"/>
        <v>SkyshotTowerHarvester L7</v>
      </c>
      <c r="D328" s="1" t="s">
        <v>240</v>
      </c>
      <c r="E328" s="2">
        <v>7</v>
      </c>
      <c r="F328" s="18">
        <v>1</v>
      </c>
      <c r="G328" s="48">
        <v>4762</v>
      </c>
      <c r="H328" s="48"/>
      <c r="I328" s="49">
        <v>4762</v>
      </c>
      <c r="J328" s="24">
        <v>148.8125</v>
      </c>
      <c r="K328" s="22">
        <v>6.7198656026879466E-3</v>
      </c>
      <c r="L328" s="53" t="s">
        <v>162</v>
      </c>
      <c r="N328">
        <v>5933</v>
      </c>
      <c r="O328">
        <v>8989</v>
      </c>
      <c r="P328">
        <v>8172</v>
      </c>
      <c r="Q328">
        <v>7429</v>
      </c>
      <c r="R328">
        <v>6754</v>
      </c>
      <c r="S328">
        <v>6140</v>
      </c>
      <c r="T328">
        <v>5582</v>
      </c>
      <c r="U328">
        <v>5075</v>
      </c>
      <c r="V328">
        <v>4613</v>
      </c>
      <c r="W328">
        <v>4194</v>
      </c>
      <c r="X328">
        <v>3813</v>
      </c>
      <c r="Y328">
        <v>3466</v>
      </c>
      <c r="Z328">
        <v>3151</v>
      </c>
      <c r="AA328">
        <v>2865</v>
      </c>
      <c r="AB328">
        <v>2605</v>
      </c>
      <c r="AC328">
        <v>2368</v>
      </c>
      <c r="AD328">
        <v>1658</v>
      </c>
      <c r="AE328">
        <v>1161</v>
      </c>
      <c r="AF328">
        <v>813</v>
      </c>
      <c r="AG328">
        <v>569</v>
      </c>
    </row>
    <row r="329" spans="2:33" outlineLevel="1" x14ac:dyDescent="0.2">
      <c r="B329" t="s">
        <v>155</v>
      </c>
      <c r="C329" t="str">
        <f t="shared" si="3"/>
        <v>SkyshotTowerHarvester L8</v>
      </c>
      <c r="D329" s="1" t="s">
        <v>240</v>
      </c>
      <c r="E329" s="2">
        <v>8</v>
      </c>
      <c r="F329" s="18">
        <v>1</v>
      </c>
      <c r="G329" s="48">
        <v>8571</v>
      </c>
      <c r="H329" s="48"/>
      <c r="I329" s="49">
        <v>8571</v>
      </c>
      <c r="J329" s="24">
        <v>267.84375</v>
      </c>
      <c r="K329" s="22">
        <v>3.7335200093337999E-3</v>
      </c>
      <c r="L329" s="53" t="s">
        <v>162</v>
      </c>
      <c r="N329">
        <v>11885</v>
      </c>
      <c r="O329">
        <v>18007</v>
      </c>
      <c r="P329">
        <v>16370</v>
      </c>
      <c r="Q329">
        <v>14881</v>
      </c>
      <c r="R329">
        <v>13528</v>
      </c>
      <c r="S329">
        <v>12298</v>
      </c>
      <c r="T329">
        <v>11180</v>
      </c>
      <c r="U329">
        <v>10164</v>
      </c>
      <c r="V329">
        <v>9240</v>
      </c>
      <c r="W329">
        <v>8401</v>
      </c>
      <c r="X329">
        <v>7637</v>
      </c>
      <c r="Y329">
        <v>6942</v>
      </c>
      <c r="Z329">
        <v>6311</v>
      </c>
      <c r="AA329">
        <v>5737</v>
      </c>
      <c r="AB329">
        <v>5216</v>
      </c>
      <c r="AC329">
        <v>4741</v>
      </c>
      <c r="AD329">
        <v>4310</v>
      </c>
      <c r="AE329">
        <v>3018</v>
      </c>
      <c r="AF329">
        <v>2113</v>
      </c>
      <c r="AG329">
        <v>1479</v>
      </c>
    </row>
    <row r="330" spans="2:33" outlineLevel="1" x14ac:dyDescent="0.2">
      <c r="B330" t="s">
        <v>155</v>
      </c>
      <c r="C330" t="str">
        <f t="shared" si="3"/>
        <v>SkyshotTowerHarvester L9</v>
      </c>
      <c r="D330" s="1" t="s">
        <v>240</v>
      </c>
      <c r="E330" s="2">
        <v>9</v>
      </c>
      <c r="F330" s="18">
        <v>1</v>
      </c>
      <c r="G330" s="48">
        <v>15428</v>
      </c>
      <c r="H330" s="48"/>
      <c r="I330" s="49">
        <v>15428</v>
      </c>
      <c r="J330" s="24">
        <v>482.125</v>
      </c>
      <c r="K330" s="22">
        <v>2.074150894477573E-3</v>
      </c>
      <c r="L330" s="53" t="s">
        <v>162</v>
      </c>
      <c r="N330">
        <v>23793</v>
      </c>
      <c r="O330">
        <v>36048</v>
      </c>
      <c r="P330">
        <v>32771</v>
      </c>
      <c r="Q330">
        <v>29792</v>
      </c>
      <c r="R330">
        <v>27084</v>
      </c>
      <c r="S330">
        <v>24621</v>
      </c>
      <c r="T330">
        <v>22383</v>
      </c>
      <c r="U330">
        <v>20349</v>
      </c>
      <c r="V330">
        <v>18498</v>
      </c>
      <c r="W330">
        <v>16817</v>
      </c>
      <c r="X330">
        <v>15288</v>
      </c>
      <c r="Y330">
        <v>13899</v>
      </c>
      <c r="Z330">
        <v>12635</v>
      </c>
      <c r="AA330">
        <v>11487</v>
      </c>
      <c r="AB330">
        <v>10443</v>
      </c>
      <c r="AC330">
        <v>9494</v>
      </c>
      <c r="AD330">
        <v>8630</v>
      </c>
      <c r="AE330">
        <v>7846</v>
      </c>
      <c r="AF330">
        <v>5492</v>
      </c>
      <c r="AG330">
        <v>3844</v>
      </c>
    </row>
    <row r="331" spans="2:33" outlineLevel="1" x14ac:dyDescent="0.2">
      <c r="B331" t="s">
        <v>155</v>
      </c>
      <c r="C331" t="str">
        <f t="shared" si="3"/>
        <v>SkyshotTowerHarvester L10</v>
      </c>
      <c r="D331" s="1" t="s">
        <v>240</v>
      </c>
      <c r="E331" s="2">
        <v>10</v>
      </c>
      <c r="F331" s="18">
        <v>1</v>
      </c>
      <c r="G331" s="48">
        <v>27770</v>
      </c>
      <c r="H331" s="48"/>
      <c r="I331" s="49">
        <v>27770</v>
      </c>
      <c r="J331" s="24">
        <v>867.8125</v>
      </c>
      <c r="K331" s="22">
        <v>1.1523226503420958E-3</v>
      </c>
      <c r="L331" s="53" t="s">
        <v>162</v>
      </c>
      <c r="N331">
        <v>47641</v>
      </c>
      <c r="O331">
        <v>72183</v>
      </c>
      <c r="P331">
        <v>65621</v>
      </c>
      <c r="Q331">
        <v>59655</v>
      </c>
      <c r="R331">
        <v>54232</v>
      </c>
      <c r="S331">
        <v>49302</v>
      </c>
      <c r="T331">
        <v>44820</v>
      </c>
      <c r="U331">
        <v>40746</v>
      </c>
      <c r="V331">
        <v>37042</v>
      </c>
      <c r="W331">
        <v>33675</v>
      </c>
      <c r="X331">
        <v>30613</v>
      </c>
      <c r="Y331">
        <v>27830</v>
      </c>
      <c r="Z331">
        <v>25301</v>
      </c>
      <c r="AA331">
        <v>23001</v>
      </c>
      <c r="AB331">
        <v>20910</v>
      </c>
      <c r="AC331">
        <v>19009</v>
      </c>
      <c r="AD331">
        <v>17281</v>
      </c>
      <c r="AE331">
        <v>15710</v>
      </c>
      <c r="AF331">
        <v>14282</v>
      </c>
      <c r="AG331">
        <v>9997</v>
      </c>
    </row>
    <row r="332" spans="2:33" outlineLevel="1" x14ac:dyDescent="0.2">
      <c r="B332" t="s">
        <v>155</v>
      </c>
      <c r="C332" t="str">
        <f t="shared" si="3"/>
        <v>SkyshotTowerHarvester L11</v>
      </c>
      <c r="D332" s="1" t="s">
        <v>240</v>
      </c>
      <c r="E332" s="2">
        <v>11</v>
      </c>
      <c r="F332" s="18">
        <v>1</v>
      </c>
      <c r="G332" s="48">
        <v>49987</v>
      </c>
      <c r="H332" s="48"/>
      <c r="I332" s="49">
        <v>49987</v>
      </c>
      <c r="J332" s="24">
        <v>1562.09375</v>
      </c>
      <c r="K332" s="22">
        <v>6.4016644327525153E-4</v>
      </c>
      <c r="L332" s="53" t="s">
        <v>162</v>
      </c>
      <c r="N332">
        <v>95410</v>
      </c>
      <c r="O332">
        <v>144560</v>
      </c>
      <c r="P332">
        <v>131419</v>
      </c>
      <c r="Q332">
        <v>119472</v>
      </c>
      <c r="R332">
        <v>108610</v>
      </c>
      <c r="S332">
        <v>98737</v>
      </c>
      <c r="T332">
        <v>89760</v>
      </c>
      <c r="U332">
        <v>81600</v>
      </c>
      <c r="V332">
        <v>74182</v>
      </c>
      <c r="W332">
        <v>67438</v>
      </c>
      <c r="X332">
        <v>61307</v>
      </c>
      <c r="Y332">
        <v>55734</v>
      </c>
      <c r="Z332">
        <v>50667</v>
      </c>
      <c r="AA332">
        <v>46061</v>
      </c>
      <c r="AB332">
        <v>41873</v>
      </c>
      <c r="AC332">
        <v>38067</v>
      </c>
      <c r="AD332">
        <v>34606</v>
      </c>
      <c r="AE332">
        <v>31460</v>
      </c>
      <c r="AF332">
        <v>28600</v>
      </c>
      <c r="AG332">
        <v>26000</v>
      </c>
    </row>
    <row r="333" spans="2:33" outlineLevel="1" x14ac:dyDescent="0.2">
      <c r="B333" t="s">
        <v>155</v>
      </c>
      <c r="C333" t="str">
        <f t="shared" si="3"/>
        <v>SkyshotTowerHarvester L12</v>
      </c>
      <c r="D333" s="1" t="s">
        <v>240</v>
      </c>
      <c r="E333" s="2">
        <v>12</v>
      </c>
      <c r="F333" s="18">
        <v>1</v>
      </c>
      <c r="G333" s="48">
        <v>89976</v>
      </c>
      <c r="H333" s="48"/>
      <c r="I333" s="49">
        <v>89976</v>
      </c>
      <c r="J333" s="24">
        <v>2811.75</v>
      </c>
      <c r="K333" s="22">
        <v>3.5565039566106516E-4</v>
      </c>
      <c r="L333" s="53" t="s">
        <v>162</v>
      </c>
      <c r="N333">
        <v>171600</v>
      </c>
      <c r="O333">
        <v>260000</v>
      </c>
      <c r="P333">
        <v>236167</v>
      </c>
      <c r="Q333">
        <v>215584</v>
      </c>
      <c r="R333">
        <v>195000</v>
      </c>
      <c r="S333">
        <v>177667</v>
      </c>
      <c r="T333">
        <v>161417</v>
      </c>
      <c r="U333">
        <v>147334</v>
      </c>
      <c r="V333">
        <v>133250</v>
      </c>
      <c r="W333">
        <v>121334</v>
      </c>
      <c r="X333">
        <v>110500</v>
      </c>
      <c r="Y333">
        <v>100750</v>
      </c>
      <c r="Z333">
        <v>91000</v>
      </c>
      <c r="AA333">
        <v>83417</v>
      </c>
      <c r="AB333">
        <v>75834</v>
      </c>
      <c r="AC333">
        <v>68250</v>
      </c>
      <c r="AD333">
        <v>61750</v>
      </c>
      <c r="AE333">
        <v>56334</v>
      </c>
      <c r="AF333">
        <v>52000</v>
      </c>
      <c r="AG333">
        <v>46584</v>
      </c>
    </row>
    <row r="334" spans="2:33" outlineLevel="1" x14ac:dyDescent="0.2">
      <c r="B334" t="s">
        <v>155</v>
      </c>
      <c r="C334" t="str">
        <f t="shared" si="3"/>
        <v>SkyshotTowerHarvester L13</v>
      </c>
      <c r="D334" s="1" t="s">
        <v>240</v>
      </c>
      <c r="E334" s="2">
        <v>13</v>
      </c>
      <c r="F334" s="18">
        <v>1</v>
      </c>
      <c r="G334" s="48">
        <v>161956</v>
      </c>
      <c r="H334" s="48"/>
      <c r="I334" s="49">
        <v>161956</v>
      </c>
      <c r="J334" s="24">
        <v>5061.125</v>
      </c>
      <c r="K334" s="22">
        <v>1.9758452913136901E-4</v>
      </c>
      <c r="L334" s="53" t="s">
        <v>162</v>
      </c>
      <c r="N334">
        <v>308751</v>
      </c>
      <c r="O334">
        <v>468000</v>
      </c>
      <c r="P334">
        <v>424667</v>
      </c>
      <c r="Q334">
        <v>387834</v>
      </c>
      <c r="R334">
        <v>351000</v>
      </c>
      <c r="S334">
        <v>319584</v>
      </c>
      <c r="T334">
        <v>290334</v>
      </c>
      <c r="U334">
        <v>265417</v>
      </c>
      <c r="V334">
        <v>239417</v>
      </c>
      <c r="W334">
        <v>218834</v>
      </c>
      <c r="X334">
        <v>199334</v>
      </c>
      <c r="Y334">
        <v>180917</v>
      </c>
      <c r="Z334">
        <v>163584</v>
      </c>
      <c r="AA334">
        <v>150584</v>
      </c>
      <c r="AB334">
        <v>136500</v>
      </c>
      <c r="AC334">
        <v>122417</v>
      </c>
      <c r="AD334">
        <v>111584</v>
      </c>
      <c r="AE334">
        <v>101834</v>
      </c>
      <c r="AF334">
        <v>93167</v>
      </c>
      <c r="AG334">
        <v>83417</v>
      </c>
    </row>
    <row r="335" spans="2:33" outlineLevel="1" x14ac:dyDescent="0.2">
      <c r="B335" t="s">
        <v>155</v>
      </c>
      <c r="C335" t="str">
        <f t="shared" si="3"/>
        <v>SkyshotTowerHarvester L14</v>
      </c>
      <c r="D335" s="1" t="s">
        <v>240</v>
      </c>
      <c r="E335" s="2">
        <v>14</v>
      </c>
      <c r="F335" s="18">
        <v>1</v>
      </c>
      <c r="G335" s="48">
        <v>291522</v>
      </c>
      <c r="H335" s="48"/>
      <c r="I335" s="49">
        <v>291522</v>
      </c>
      <c r="J335" s="24">
        <v>9110.0625</v>
      </c>
      <c r="K335" s="22">
        <v>1.0976873100486413E-4</v>
      </c>
      <c r="L335" s="53" t="s">
        <v>162</v>
      </c>
      <c r="N335">
        <v>555750</v>
      </c>
      <c r="O335">
        <v>842834</v>
      </c>
      <c r="P335">
        <v>764834</v>
      </c>
      <c r="Q335">
        <v>697667</v>
      </c>
      <c r="R335">
        <v>631584</v>
      </c>
      <c r="S335">
        <v>575250</v>
      </c>
      <c r="T335">
        <v>522167</v>
      </c>
      <c r="U335">
        <v>477750</v>
      </c>
      <c r="V335">
        <v>431167</v>
      </c>
      <c r="W335">
        <v>394334</v>
      </c>
      <c r="X335">
        <v>358584</v>
      </c>
      <c r="Y335">
        <v>326084</v>
      </c>
      <c r="Z335">
        <v>294667</v>
      </c>
      <c r="AA335">
        <v>270834</v>
      </c>
      <c r="AB335">
        <v>245917</v>
      </c>
      <c r="AC335">
        <v>219917</v>
      </c>
      <c r="AD335">
        <v>200417</v>
      </c>
      <c r="AE335">
        <v>183084</v>
      </c>
      <c r="AF335">
        <v>167917</v>
      </c>
      <c r="AG335">
        <v>150584</v>
      </c>
    </row>
    <row r="336" spans="2:33" outlineLevel="1" x14ac:dyDescent="0.2">
      <c r="B336" t="s">
        <v>155</v>
      </c>
      <c r="C336" t="str">
        <f t="shared" si="3"/>
        <v>SkyshotTowerHarvester L15</v>
      </c>
      <c r="D336" s="1" t="s">
        <v>240</v>
      </c>
      <c r="E336" s="2">
        <v>15</v>
      </c>
      <c r="F336" s="18">
        <v>1</v>
      </c>
      <c r="G336" s="48">
        <v>524739</v>
      </c>
      <c r="H336" s="48"/>
      <c r="I336" s="49">
        <v>524739</v>
      </c>
      <c r="J336" s="24">
        <v>16398.09375</v>
      </c>
      <c r="K336" s="22">
        <v>6.0982698065133333E-5</v>
      </c>
      <c r="L336" s="53" t="s">
        <v>162</v>
      </c>
      <c r="N336">
        <v>1000350</v>
      </c>
      <c r="O336">
        <v>1516667</v>
      </c>
      <c r="P336">
        <v>1376917</v>
      </c>
      <c r="Q336">
        <v>1255584</v>
      </c>
      <c r="R336">
        <v>1136417</v>
      </c>
      <c r="S336">
        <v>1035667</v>
      </c>
      <c r="T336">
        <v>940334</v>
      </c>
      <c r="U336">
        <v>860167</v>
      </c>
      <c r="V336">
        <v>775667</v>
      </c>
      <c r="W336">
        <v>709584</v>
      </c>
      <c r="X336">
        <v>645667</v>
      </c>
      <c r="Y336">
        <v>587167</v>
      </c>
      <c r="Z336">
        <v>530834</v>
      </c>
      <c r="AA336">
        <v>487500</v>
      </c>
      <c r="AB336">
        <v>443084</v>
      </c>
      <c r="AC336">
        <v>395417</v>
      </c>
      <c r="AD336">
        <v>360750</v>
      </c>
      <c r="AE336">
        <v>329334</v>
      </c>
      <c r="AF336">
        <v>302250</v>
      </c>
      <c r="AG336">
        <v>270834</v>
      </c>
    </row>
    <row r="337" spans="2:33" outlineLevel="1" x14ac:dyDescent="0.2">
      <c r="B337" t="s">
        <v>155</v>
      </c>
      <c r="C337" t="str">
        <f t="shared" si="3"/>
        <v>SkyshotTowerHarvester L16</v>
      </c>
      <c r="D337" s="1" t="s">
        <v>240</v>
      </c>
      <c r="E337" s="2">
        <v>16</v>
      </c>
      <c r="F337" s="18">
        <v>1</v>
      </c>
      <c r="G337" s="48">
        <v>944530</v>
      </c>
      <c r="H337" s="48"/>
      <c r="I337" s="49">
        <v>944530</v>
      </c>
      <c r="J337" s="24">
        <v>29516.5625</v>
      </c>
      <c r="K337" s="22">
        <v>3.387928387663706E-5</v>
      </c>
      <c r="L337" s="53" t="s">
        <v>162</v>
      </c>
      <c r="N337">
        <v>1800501</v>
      </c>
      <c r="O337">
        <v>2730000</v>
      </c>
      <c r="P337">
        <v>2478667</v>
      </c>
      <c r="Q337">
        <v>2259834</v>
      </c>
      <c r="R337">
        <v>2045334</v>
      </c>
      <c r="S337">
        <v>1864417</v>
      </c>
      <c r="T337">
        <v>1692167</v>
      </c>
      <c r="U337">
        <v>1548084</v>
      </c>
      <c r="V337">
        <v>1396417</v>
      </c>
      <c r="W337">
        <v>1277250</v>
      </c>
      <c r="X337">
        <v>1162417</v>
      </c>
      <c r="Y337">
        <v>1057334</v>
      </c>
      <c r="Z337">
        <v>955500</v>
      </c>
      <c r="AA337">
        <v>877500</v>
      </c>
      <c r="AB337">
        <v>797334</v>
      </c>
      <c r="AC337">
        <v>711750</v>
      </c>
      <c r="AD337">
        <v>648917</v>
      </c>
      <c r="AE337">
        <v>592584</v>
      </c>
      <c r="AF337">
        <v>543834</v>
      </c>
      <c r="AG337">
        <v>487500</v>
      </c>
    </row>
    <row r="338" spans="2:33" outlineLevel="1" x14ac:dyDescent="0.2">
      <c r="B338" t="s">
        <v>155</v>
      </c>
      <c r="C338" t="str">
        <f t="shared" si="3"/>
        <v>SkyshotTowerHarvester L17</v>
      </c>
      <c r="D338" s="1" t="s">
        <v>240</v>
      </c>
      <c r="E338" s="2">
        <v>17</v>
      </c>
      <c r="F338" s="18">
        <v>1</v>
      </c>
      <c r="G338" s="48">
        <v>1700153</v>
      </c>
      <c r="H338" s="48"/>
      <c r="I338" s="49">
        <v>1700153</v>
      </c>
      <c r="J338" s="24">
        <v>53129.78125</v>
      </c>
      <c r="K338" s="22">
        <v>1.8821835446574515E-5</v>
      </c>
      <c r="L338" s="53" t="s">
        <v>162</v>
      </c>
      <c r="N338">
        <v>3240900</v>
      </c>
      <c r="O338">
        <v>4914000</v>
      </c>
      <c r="P338">
        <v>4461167</v>
      </c>
      <c r="Q338">
        <v>4067917</v>
      </c>
      <c r="R338">
        <v>3681167</v>
      </c>
      <c r="S338">
        <v>3356167</v>
      </c>
      <c r="T338">
        <v>3046334</v>
      </c>
      <c r="U338">
        <v>2786334</v>
      </c>
      <c r="V338">
        <v>2513334</v>
      </c>
      <c r="W338">
        <v>2298834</v>
      </c>
      <c r="X338">
        <v>2091917</v>
      </c>
      <c r="Y338">
        <v>1903417</v>
      </c>
      <c r="Z338">
        <v>1720334</v>
      </c>
      <c r="AA338">
        <v>1579500</v>
      </c>
      <c r="AB338">
        <v>1435417</v>
      </c>
      <c r="AC338">
        <v>1281584</v>
      </c>
      <c r="AD338">
        <v>1167834</v>
      </c>
      <c r="AE338">
        <v>1067084</v>
      </c>
      <c r="AF338">
        <v>979334</v>
      </c>
      <c r="AG338">
        <v>877500</v>
      </c>
    </row>
    <row r="339" spans="2:33" outlineLevel="1" x14ac:dyDescent="0.2">
      <c r="B339" t="s">
        <v>155</v>
      </c>
      <c r="C339" t="str">
        <f t="shared" si="3"/>
        <v>SkyshotTowerHarvester L18</v>
      </c>
      <c r="D339" s="1" t="s">
        <v>240</v>
      </c>
      <c r="E339" s="2">
        <v>18</v>
      </c>
      <c r="F339" s="18">
        <v>1</v>
      </c>
      <c r="G339" s="48">
        <v>3060276</v>
      </c>
      <c r="H339" s="48"/>
      <c r="I339" s="49">
        <v>3060276</v>
      </c>
      <c r="J339" s="24">
        <v>95633.625</v>
      </c>
      <c r="K339" s="22">
        <v>1.0456573197972993E-5</v>
      </c>
      <c r="L339" s="53" t="s">
        <v>162</v>
      </c>
      <c r="N339">
        <v>5833751</v>
      </c>
      <c r="O339">
        <v>8845417</v>
      </c>
      <c r="P339">
        <v>8029667</v>
      </c>
      <c r="Q339">
        <v>7322250</v>
      </c>
      <c r="R339">
        <v>6625667</v>
      </c>
      <c r="S339">
        <v>6040667</v>
      </c>
      <c r="T339">
        <v>5483834</v>
      </c>
      <c r="U339">
        <v>5015834</v>
      </c>
      <c r="V339">
        <v>4524000</v>
      </c>
      <c r="W339">
        <v>4138334</v>
      </c>
      <c r="X339">
        <v>3765667</v>
      </c>
      <c r="Y339">
        <v>3426584</v>
      </c>
      <c r="Z339">
        <v>3096167</v>
      </c>
      <c r="AA339">
        <v>2842667</v>
      </c>
      <c r="AB339">
        <v>2583750</v>
      </c>
      <c r="AC339">
        <v>2306417</v>
      </c>
      <c r="AD339">
        <v>2101667</v>
      </c>
      <c r="AE339">
        <v>1920750</v>
      </c>
      <c r="AF339">
        <v>1762584</v>
      </c>
      <c r="AG339">
        <v>1579500</v>
      </c>
    </row>
    <row r="340" spans="2:33" outlineLevel="1" x14ac:dyDescent="0.2">
      <c r="B340" t="s">
        <v>155</v>
      </c>
      <c r="C340" t="str">
        <f t="shared" si="3"/>
        <v>SkyshotTowerHarvester L19</v>
      </c>
      <c r="D340" s="1" t="s">
        <v>240</v>
      </c>
      <c r="E340" s="2">
        <v>19</v>
      </c>
      <c r="F340" s="18">
        <v>1</v>
      </c>
      <c r="G340" s="48">
        <v>5508497</v>
      </c>
      <c r="H340" s="48"/>
      <c r="I340" s="49">
        <v>5508497</v>
      </c>
      <c r="J340" s="24">
        <v>172140.53125</v>
      </c>
      <c r="K340" s="22">
        <v>5.8092071212891645E-6</v>
      </c>
      <c r="L340" s="53" t="s">
        <v>162</v>
      </c>
      <c r="N340">
        <v>10500750</v>
      </c>
      <c r="O340">
        <v>15921750</v>
      </c>
      <c r="P340">
        <v>14453834</v>
      </c>
      <c r="Q340">
        <v>13179834</v>
      </c>
      <c r="R340">
        <v>11926417</v>
      </c>
      <c r="S340">
        <v>10873417</v>
      </c>
      <c r="T340">
        <v>9871334</v>
      </c>
      <c r="U340">
        <v>9028500</v>
      </c>
      <c r="V340">
        <v>8143417</v>
      </c>
      <c r="W340">
        <v>7449000</v>
      </c>
      <c r="X340">
        <v>6778417</v>
      </c>
      <c r="Y340">
        <v>6167417</v>
      </c>
      <c r="Z340">
        <v>5572667</v>
      </c>
      <c r="AA340">
        <v>5116584</v>
      </c>
      <c r="AB340">
        <v>4650750</v>
      </c>
      <c r="AC340">
        <v>4151334</v>
      </c>
      <c r="AD340">
        <v>3783000</v>
      </c>
      <c r="AE340">
        <v>3456917</v>
      </c>
      <c r="AF340">
        <v>3173084</v>
      </c>
      <c r="AG340">
        <v>2842667</v>
      </c>
    </row>
    <row r="341" spans="2:33" outlineLevel="1" x14ac:dyDescent="0.2">
      <c r="B341" t="s">
        <v>155</v>
      </c>
      <c r="C341" t="str">
        <f t="shared" si="3"/>
        <v>SkyshotTowerHarvester L20</v>
      </c>
      <c r="D341" s="1" t="s">
        <v>240</v>
      </c>
      <c r="E341" s="2">
        <v>20</v>
      </c>
      <c r="F341" s="18">
        <v>1</v>
      </c>
      <c r="G341" s="48">
        <v>9915295</v>
      </c>
      <c r="H341" s="48"/>
      <c r="I341" s="49">
        <v>9915295</v>
      </c>
      <c r="J341" s="24">
        <v>309852.96875</v>
      </c>
      <c r="K341" s="22">
        <v>3.227337159408772E-6</v>
      </c>
      <c r="L341" s="53" t="s">
        <v>162</v>
      </c>
      <c r="N341">
        <v>18901350</v>
      </c>
      <c r="O341">
        <v>28659584</v>
      </c>
      <c r="P341">
        <v>26017334</v>
      </c>
      <c r="Q341">
        <v>23723917</v>
      </c>
      <c r="R341">
        <v>21467334</v>
      </c>
      <c r="S341">
        <v>19572584</v>
      </c>
      <c r="T341">
        <v>17768834</v>
      </c>
      <c r="U341">
        <v>16251084</v>
      </c>
      <c r="V341">
        <v>14658584</v>
      </c>
      <c r="W341">
        <v>13408417</v>
      </c>
      <c r="X341">
        <v>12201584</v>
      </c>
      <c r="Y341">
        <v>11100917</v>
      </c>
      <c r="Z341">
        <v>10030584</v>
      </c>
      <c r="AA341">
        <v>9209417</v>
      </c>
      <c r="AB341">
        <v>8370917</v>
      </c>
      <c r="AC341">
        <v>7472834</v>
      </c>
      <c r="AD341">
        <v>6809834</v>
      </c>
      <c r="AE341">
        <v>6222667</v>
      </c>
      <c r="AF341">
        <v>5711334</v>
      </c>
      <c r="AG341">
        <v>5116584</v>
      </c>
    </row>
    <row r="342" spans="2:33" s="16" customFormat="1" outlineLevel="1" x14ac:dyDescent="0.2">
      <c r="B342" s="16" t="s">
        <v>155</v>
      </c>
      <c r="C342" s="16" t="s">
        <v>163</v>
      </c>
      <c r="D342" s="56" t="s">
        <v>163</v>
      </c>
      <c r="E342" s="57">
        <v>1</v>
      </c>
      <c r="F342" s="58">
        <v>1</v>
      </c>
      <c r="G342" s="59">
        <v>250</v>
      </c>
      <c r="H342" s="59"/>
      <c r="I342" s="60">
        <v>250</v>
      </c>
      <c r="J342" s="61">
        <v>7.8125</v>
      </c>
      <c r="K342" s="62">
        <v>0.128</v>
      </c>
      <c r="L342" s="63"/>
    </row>
    <row r="343" spans="2:33" s="27" customFormat="1" x14ac:dyDescent="0.2">
      <c r="B343" s="27" t="s">
        <v>164</v>
      </c>
      <c r="C343" s="27" t="s">
        <v>165</v>
      </c>
      <c r="D343" s="29" t="s">
        <v>166</v>
      </c>
      <c r="E343" s="30">
        <v>0</v>
      </c>
      <c r="F343" s="31">
        <v>1</v>
      </c>
      <c r="G343" s="46">
        <v>3</v>
      </c>
      <c r="H343" s="46"/>
      <c r="I343" s="47">
        <v>3</v>
      </c>
      <c r="J343" s="33">
        <v>9.375E-2</v>
      </c>
      <c r="K343" s="34">
        <v>10.666666666666666</v>
      </c>
      <c r="L343" s="35" t="s">
        <v>167</v>
      </c>
    </row>
    <row r="344" spans="2:33" x14ac:dyDescent="0.2">
      <c r="B344" t="s">
        <v>164</v>
      </c>
      <c r="C344" t="s">
        <v>168</v>
      </c>
      <c r="D344" s="1" t="s">
        <v>169</v>
      </c>
      <c r="E344" s="2">
        <v>1</v>
      </c>
      <c r="F344" s="18">
        <v>1</v>
      </c>
      <c r="G344" s="48">
        <v>7</v>
      </c>
      <c r="H344" s="48"/>
      <c r="I344" s="49">
        <v>7</v>
      </c>
      <c r="J344" s="24">
        <v>0.21875</v>
      </c>
      <c r="K344" s="22">
        <v>4.5714285714285712</v>
      </c>
      <c r="L344" s="53" t="s">
        <v>167</v>
      </c>
      <c r="N344">
        <v>2</v>
      </c>
      <c r="O344">
        <v>2</v>
      </c>
      <c r="P344">
        <v>2</v>
      </c>
      <c r="Q344">
        <v>2</v>
      </c>
      <c r="R344">
        <v>2</v>
      </c>
      <c r="S344">
        <v>2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</row>
    <row r="345" spans="2:33" outlineLevel="1" x14ac:dyDescent="0.2">
      <c r="B345" t="s">
        <v>164</v>
      </c>
      <c r="C345" t="s">
        <v>170</v>
      </c>
      <c r="D345" s="1" t="s">
        <v>171</v>
      </c>
      <c r="E345" s="2">
        <v>2</v>
      </c>
      <c r="F345" s="18">
        <v>1</v>
      </c>
      <c r="G345" s="48">
        <v>18</v>
      </c>
      <c r="H345" s="48"/>
      <c r="I345" s="49">
        <v>18</v>
      </c>
      <c r="J345" s="24">
        <v>0.5625</v>
      </c>
      <c r="K345" s="22">
        <v>1.7777777777777777</v>
      </c>
      <c r="L345" s="53" t="s">
        <v>167</v>
      </c>
      <c r="N345">
        <v>6</v>
      </c>
      <c r="O345">
        <v>6</v>
      </c>
      <c r="P345">
        <v>5</v>
      </c>
      <c r="Q345">
        <v>5</v>
      </c>
      <c r="R345">
        <v>4</v>
      </c>
      <c r="S345">
        <v>4</v>
      </c>
      <c r="T345">
        <v>3</v>
      </c>
      <c r="U345">
        <v>2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</row>
    <row r="346" spans="2:33" outlineLevel="1" x14ac:dyDescent="0.2">
      <c r="B346" t="s">
        <v>164</v>
      </c>
      <c r="C346" t="s">
        <v>172</v>
      </c>
      <c r="D346" s="1" t="s">
        <v>173</v>
      </c>
      <c r="E346" s="2">
        <v>3</v>
      </c>
      <c r="F346" s="18">
        <v>1</v>
      </c>
      <c r="G346" s="48">
        <v>46</v>
      </c>
      <c r="H346" s="48"/>
      <c r="I346" s="49">
        <v>46</v>
      </c>
      <c r="J346" s="24">
        <v>1.4375</v>
      </c>
      <c r="K346" s="22">
        <v>0.69565217391304346</v>
      </c>
      <c r="L346" s="53" t="s">
        <v>167</v>
      </c>
      <c r="N346">
        <v>16</v>
      </c>
      <c r="O346">
        <v>14</v>
      </c>
      <c r="P346">
        <v>13</v>
      </c>
      <c r="Q346">
        <v>12</v>
      </c>
      <c r="R346">
        <v>10</v>
      </c>
      <c r="S346">
        <v>10</v>
      </c>
      <c r="T346">
        <v>7</v>
      </c>
      <c r="U346">
        <v>5</v>
      </c>
      <c r="V346">
        <v>3</v>
      </c>
      <c r="W346">
        <v>2</v>
      </c>
      <c r="X346">
        <v>2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</row>
    <row r="347" spans="2:33" outlineLevel="1" x14ac:dyDescent="0.2">
      <c r="B347" t="s">
        <v>164</v>
      </c>
      <c r="C347" t="s">
        <v>174</v>
      </c>
      <c r="D347" s="1" t="s">
        <v>175</v>
      </c>
      <c r="E347" s="2">
        <v>4</v>
      </c>
      <c r="F347" s="18">
        <v>1</v>
      </c>
      <c r="G347" s="48">
        <v>116</v>
      </c>
      <c r="H347" s="48"/>
      <c r="I347" s="49">
        <v>116</v>
      </c>
      <c r="J347" s="24">
        <v>3.625</v>
      </c>
      <c r="K347" s="22">
        <v>0.27586206896551724</v>
      </c>
      <c r="L347" s="53" t="s">
        <v>167</v>
      </c>
      <c r="N347">
        <v>39</v>
      </c>
      <c r="O347">
        <v>35</v>
      </c>
      <c r="P347">
        <v>32</v>
      </c>
      <c r="Q347">
        <v>29</v>
      </c>
      <c r="R347">
        <v>26</v>
      </c>
      <c r="S347">
        <v>24</v>
      </c>
      <c r="T347">
        <v>17</v>
      </c>
      <c r="U347">
        <v>12</v>
      </c>
      <c r="V347">
        <v>8</v>
      </c>
      <c r="W347">
        <v>6</v>
      </c>
      <c r="X347">
        <v>4</v>
      </c>
      <c r="Y347">
        <v>3</v>
      </c>
      <c r="Z347">
        <v>2</v>
      </c>
      <c r="AA347">
        <v>2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</row>
    <row r="348" spans="2:33" s="37" customFormat="1" outlineLevel="1" x14ac:dyDescent="0.2">
      <c r="B348" s="37" t="s">
        <v>164</v>
      </c>
      <c r="C348" s="37" t="s">
        <v>176</v>
      </c>
      <c r="D348" s="38" t="s">
        <v>177</v>
      </c>
      <c r="E348" s="39">
        <v>5</v>
      </c>
      <c r="F348" s="40">
        <v>1</v>
      </c>
      <c r="G348" s="64">
        <v>290</v>
      </c>
      <c r="H348" s="64"/>
      <c r="I348" s="52">
        <v>290</v>
      </c>
      <c r="J348" s="42">
        <v>9.0625</v>
      </c>
      <c r="K348" s="43">
        <v>0.1103448275862069</v>
      </c>
      <c r="L348" s="44" t="s">
        <v>178</v>
      </c>
      <c r="N348" s="37">
        <v>97</v>
      </c>
      <c r="O348" s="37">
        <v>88</v>
      </c>
      <c r="P348" s="37">
        <v>80</v>
      </c>
      <c r="Q348" s="37">
        <v>73</v>
      </c>
      <c r="R348" s="37">
        <v>66</v>
      </c>
      <c r="S348" s="37">
        <v>60</v>
      </c>
      <c r="T348" s="37">
        <v>42</v>
      </c>
      <c r="U348" s="37">
        <v>29</v>
      </c>
      <c r="V348" s="37">
        <v>20</v>
      </c>
      <c r="W348" s="37">
        <v>14</v>
      </c>
      <c r="X348" s="37">
        <v>10</v>
      </c>
      <c r="Y348" s="37">
        <v>7</v>
      </c>
      <c r="Z348" s="37">
        <v>5</v>
      </c>
      <c r="AA348" s="37">
        <v>4</v>
      </c>
      <c r="AB348" s="37">
        <v>3</v>
      </c>
      <c r="AC348" s="37">
        <v>2</v>
      </c>
      <c r="AD348" s="37">
        <v>1</v>
      </c>
      <c r="AE348" s="37">
        <v>1</v>
      </c>
      <c r="AF348" s="37">
        <v>1</v>
      </c>
      <c r="AG348" s="37">
        <v>1</v>
      </c>
    </row>
    <row r="349" spans="2:33" x14ac:dyDescent="0.2">
      <c r="B349" t="s">
        <v>164</v>
      </c>
      <c r="C349" t="s">
        <v>179</v>
      </c>
      <c r="D349" s="1" t="s">
        <v>180</v>
      </c>
      <c r="E349" s="2">
        <v>0</v>
      </c>
      <c r="F349" s="18">
        <v>1</v>
      </c>
      <c r="G349" s="48">
        <v>4</v>
      </c>
      <c r="H349" s="48"/>
      <c r="I349" s="49">
        <v>4</v>
      </c>
      <c r="J349" s="24">
        <v>0.125</v>
      </c>
      <c r="K349" s="22">
        <v>8</v>
      </c>
      <c r="L349" s="5" t="s">
        <v>181</v>
      </c>
    </row>
    <row r="350" spans="2:33" x14ac:dyDescent="0.2">
      <c r="B350" t="s">
        <v>164</v>
      </c>
      <c r="C350" t="s">
        <v>182</v>
      </c>
      <c r="D350" s="1" t="s">
        <v>183</v>
      </c>
      <c r="E350" s="2">
        <v>1</v>
      </c>
      <c r="F350" s="18">
        <v>1</v>
      </c>
      <c r="G350" s="48">
        <v>10</v>
      </c>
      <c r="H350" s="48"/>
      <c r="I350" s="49">
        <v>10</v>
      </c>
      <c r="J350" s="24">
        <v>0.3125</v>
      </c>
      <c r="K350" s="22">
        <v>3.2</v>
      </c>
      <c r="L350" s="53" t="s">
        <v>181</v>
      </c>
      <c r="N350">
        <v>2</v>
      </c>
      <c r="O350">
        <v>2</v>
      </c>
      <c r="P350">
        <v>2</v>
      </c>
      <c r="Q350">
        <v>2</v>
      </c>
      <c r="R350">
        <v>2</v>
      </c>
      <c r="S350">
        <v>2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</row>
    <row r="351" spans="2:33" outlineLevel="1" x14ac:dyDescent="0.2">
      <c r="B351" t="s">
        <v>164</v>
      </c>
      <c r="C351" t="s">
        <v>184</v>
      </c>
      <c r="D351" s="1" t="s">
        <v>185</v>
      </c>
      <c r="E351" s="2">
        <v>2</v>
      </c>
      <c r="F351" s="18">
        <v>1</v>
      </c>
      <c r="G351" s="48">
        <v>24</v>
      </c>
      <c r="H351" s="48"/>
      <c r="I351" s="49">
        <v>24</v>
      </c>
      <c r="J351" s="24">
        <v>0.75</v>
      </c>
      <c r="K351" s="22">
        <v>1.3333333333333333</v>
      </c>
      <c r="L351" s="53" t="s">
        <v>181</v>
      </c>
      <c r="N351">
        <v>6</v>
      </c>
      <c r="O351">
        <v>6</v>
      </c>
      <c r="P351">
        <v>5</v>
      </c>
      <c r="Q351">
        <v>5</v>
      </c>
      <c r="R351">
        <v>4</v>
      </c>
      <c r="S351">
        <v>4</v>
      </c>
      <c r="T351">
        <v>3</v>
      </c>
      <c r="U351">
        <v>2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</row>
    <row r="352" spans="2:33" outlineLevel="1" x14ac:dyDescent="0.2">
      <c r="B352" t="s">
        <v>164</v>
      </c>
      <c r="C352" t="s">
        <v>186</v>
      </c>
      <c r="D352" s="1" t="s">
        <v>187</v>
      </c>
      <c r="E352" s="2">
        <v>3</v>
      </c>
      <c r="F352" s="18">
        <v>1</v>
      </c>
      <c r="G352" s="48">
        <v>59</v>
      </c>
      <c r="H352" s="48"/>
      <c r="I352" s="49">
        <v>59</v>
      </c>
      <c r="J352" s="24">
        <v>1.84375</v>
      </c>
      <c r="K352" s="22">
        <v>0.5423728813559322</v>
      </c>
      <c r="L352" s="53" t="s">
        <v>181</v>
      </c>
      <c r="N352">
        <v>16</v>
      </c>
      <c r="O352">
        <v>14</v>
      </c>
      <c r="P352">
        <v>13</v>
      </c>
      <c r="Q352">
        <v>12</v>
      </c>
      <c r="R352">
        <v>10</v>
      </c>
      <c r="S352">
        <v>10</v>
      </c>
      <c r="T352">
        <v>7</v>
      </c>
      <c r="U352">
        <v>5</v>
      </c>
      <c r="V352">
        <v>3</v>
      </c>
      <c r="W352">
        <v>2</v>
      </c>
      <c r="X352">
        <v>2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</row>
    <row r="353" spans="2:33" outlineLevel="1" x14ac:dyDescent="0.2">
      <c r="B353" t="s">
        <v>164</v>
      </c>
      <c r="C353" t="s">
        <v>188</v>
      </c>
      <c r="D353" s="1" t="s">
        <v>187</v>
      </c>
      <c r="E353" s="2">
        <v>4</v>
      </c>
      <c r="F353" s="18">
        <v>1</v>
      </c>
      <c r="G353" s="48">
        <v>147</v>
      </c>
      <c r="H353" s="48"/>
      <c r="I353" s="49">
        <v>147</v>
      </c>
      <c r="J353" s="24">
        <v>4.59375</v>
      </c>
      <c r="K353" s="22">
        <v>0.21768707482993196</v>
      </c>
      <c r="L353" s="53" t="s">
        <v>181</v>
      </c>
      <c r="N353">
        <v>39</v>
      </c>
      <c r="O353">
        <v>35</v>
      </c>
      <c r="P353">
        <v>32</v>
      </c>
      <c r="Q353">
        <v>29</v>
      </c>
      <c r="R353">
        <v>26</v>
      </c>
      <c r="S353">
        <v>24</v>
      </c>
      <c r="T353">
        <v>17</v>
      </c>
      <c r="U353">
        <v>12</v>
      </c>
      <c r="V353">
        <v>8</v>
      </c>
      <c r="W353">
        <v>6</v>
      </c>
      <c r="X353">
        <v>4</v>
      </c>
      <c r="Y353">
        <v>3</v>
      </c>
      <c r="Z353">
        <v>2</v>
      </c>
      <c r="AA353">
        <v>2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</row>
    <row r="354" spans="2:33" outlineLevel="1" x14ac:dyDescent="0.2">
      <c r="B354" t="s">
        <v>164</v>
      </c>
      <c r="C354" t="s">
        <v>189</v>
      </c>
      <c r="D354" t="s">
        <v>187</v>
      </c>
      <c r="E354" s="3">
        <v>5</v>
      </c>
      <c r="F354" s="18">
        <v>1</v>
      </c>
      <c r="G354" s="65">
        <v>368</v>
      </c>
      <c r="H354" s="65"/>
      <c r="I354" s="49">
        <v>368</v>
      </c>
      <c r="J354" s="24">
        <v>11.5</v>
      </c>
      <c r="K354" s="22">
        <v>8.6956521739130432E-2</v>
      </c>
      <c r="L354" s="5" t="s">
        <v>190</v>
      </c>
      <c r="N354">
        <v>97</v>
      </c>
      <c r="O354">
        <v>88</v>
      </c>
      <c r="P354">
        <v>80</v>
      </c>
      <c r="Q354">
        <v>73</v>
      </c>
      <c r="R354">
        <v>66</v>
      </c>
      <c r="S354">
        <v>60</v>
      </c>
      <c r="T354">
        <v>42</v>
      </c>
      <c r="U354">
        <v>29</v>
      </c>
      <c r="V354">
        <v>20</v>
      </c>
      <c r="W354">
        <v>14</v>
      </c>
      <c r="X354">
        <v>10</v>
      </c>
      <c r="Y354">
        <v>7</v>
      </c>
      <c r="Z354">
        <v>5</v>
      </c>
      <c r="AA354">
        <v>4</v>
      </c>
      <c r="AB354">
        <v>3</v>
      </c>
      <c r="AC354">
        <v>2</v>
      </c>
      <c r="AD354">
        <v>1</v>
      </c>
      <c r="AE354">
        <v>1</v>
      </c>
      <c r="AF354">
        <v>1</v>
      </c>
      <c r="AG354">
        <v>1</v>
      </c>
    </row>
    <row r="355" spans="2:33" s="27" customFormat="1" x14ac:dyDescent="0.2">
      <c r="B355" s="27" t="s">
        <v>164</v>
      </c>
      <c r="C355" s="27" t="s">
        <v>191</v>
      </c>
      <c r="D355" s="29" t="s">
        <v>192</v>
      </c>
      <c r="E355" s="30">
        <v>1</v>
      </c>
      <c r="F355" s="31">
        <v>1</v>
      </c>
      <c r="G355" s="46">
        <v>11</v>
      </c>
      <c r="H355" s="46"/>
      <c r="I355" s="47">
        <v>11</v>
      </c>
      <c r="J355" s="33">
        <v>0.34375</v>
      </c>
      <c r="K355" s="34">
        <v>2.9090909090909092</v>
      </c>
      <c r="L355" s="35" t="s">
        <v>193</v>
      </c>
      <c r="N355" s="27">
        <v>2</v>
      </c>
      <c r="O355" s="27">
        <v>2</v>
      </c>
      <c r="P355" s="27">
        <v>2</v>
      </c>
      <c r="Q355" s="27">
        <v>2</v>
      </c>
      <c r="R355" s="27">
        <v>2</v>
      </c>
      <c r="S355" s="27">
        <v>2</v>
      </c>
      <c r="T355" s="27">
        <v>1</v>
      </c>
      <c r="U355" s="27">
        <v>1</v>
      </c>
      <c r="V355" s="27">
        <v>1</v>
      </c>
      <c r="W355" s="27">
        <v>1</v>
      </c>
      <c r="X355" s="27">
        <v>1</v>
      </c>
      <c r="Y355" s="27">
        <v>1</v>
      </c>
      <c r="Z355" s="27">
        <v>1</v>
      </c>
      <c r="AA355" s="27">
        <v>1</v>
      </c>
      <c r="AB355" s="27">
        <v>1</v>
      </c>
      <c r="AC355" s="27">
        <v>1</v>
      </c>
      <c r="AD355" s="27">
        <v>1</v>
      </c>
      <c r="AE355" s="27">
        <v>1</v>
      </c>
      <c r="AF355" s="27">
        <v>1</v>
      </c>
      <c r="AG355" s="27">
        <v>1</v>
      </c>
    </row>
    <row r="356" spans="2:33" outlineLevel="1" x14ac:dyDescent="0.2">
      <c r="B356" t="s">
        <v>164</v>
      </c>
      <c r="C356" t="s">
        <v>194</v>
      </c>
      <c r="D356" s="1" t="s">
        <v>195</v>
      </c>
      <c r="E356" s="2">
        <v>2</v>
      </c>
      <c r="F356" s="18">
        <v>1</v>
      </c>
      <c r="G356" s="48">
        <v>28</v>
      </c>
      <c r="H356" s="48"/>
      <c r="I356" s="49">
        <v>28</v>
      </c>
      <c r="J356" s="24">
        <v>0.875</v>
      </c>
      <c r="K356" s="22">
        <v>1.1428571428571428</v>
      </c>
      <c r="L356" s="53" t="s">
        <v>193</v>
      </c>
      <c r="N356">
        <v>6</v>
      </c>
      <c r="O356">
        <v>6</v>
      </c>
      <c r="P356">
        <v>5</v>
      </c>
      <c r="Q356">
        <v>5</v>
      </c>
      <c r="R356">
        <v>4</v>
      </c>
      <c r="S356">
        <v>4</v>
      </c>
      <c r="T356">
        <v>3</v>
      </c>
      <c r="U356">
        <v>2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</row>
    <row r="357" spans="2:33" outlineLevel="1" x14ac:dyDescent="0.2">
      <c r="B357" t="s">
        <v>164</v>
      </c>
      <c r="C357" t="s">
        <v>196</v>
      </c>
      <c r="D357" s="1" t="s">
        <v>197</v>
      </c>
      <c r="E357" s="2">
        <v>3</v>
      </c>
      <c r="F357" s="18">
        <v>1</v>
      </c>
      <c r="G357" s="48">
        <v>71</v>
      </c>
      <c r="H357" s="48"/>
      <c r="I357" s="49">
        <v>71</v>
      </c>
      <c r="J357" s="24">
        <v>2.21875</v>
      </c>
      <c r="K357" s="22">
        <v>0.45070422535211269</v>
      </c>
      <c r="L357" s="53" t="s">
        <v>193</v>
      </c>
      <c r="N357">
        <v>16</v>
      </c>
      <c r="O357">
        <v>14</v>
      </c>
      <c r="P357">
        <v>13</v>
      </c>
      <c r="Q357">
        <v>12</v>
      </c>
      <c r="R357">
        <v>10</v>
      </c>
      <c r="S357">
        <v>10</v>
      </c>
      <c r="T357">
        <v>7</v>
      </c>
      <c r="U357">
        <v>5</v>
      </c>
      <c r="V357">
        <v>3</v>
      </c>
      <c r="W357">
        <v>2</v>
      </c>
      <c r="X357">
        <v>2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</row>
    <row r="358" spans="2:33" outlineLevel="1" x14ac:dyDescent="0.2">
      <c r="B358" t="s">
        <v>164</v>
      </c>
      <c r="C358" t="s">
        <v>198</v>
      </c>
      <c r="D358" s="1" t="s">
        <v>199</v>
      </c>
      <c r="E358" s="2">
        <v>4</v>
      </c>
      <c r="F358" s="18">
        <v>1</v>
      </c>
      <c r="G358" s="48">
        <v>178</v>
      </c>
      <c r="H358" s="48"/>
      <c r="I358" s="49">
        <v>178</v>
      </c>
      <c r="J358" s="24">
        <v>5.5625</v>
      </c>
      <c r="K358" s="22">
        <v>0.1797752808988764</v>
      </c>
      <c r="L358" s="53" t="s">
        <v>193</v>
      </c>
      <c r="N358">
        <v>39</v>
      </c>
      <c r="O358">
        <v>35</v>
      </c>
      <c r="P358">
        <v>32</v>
      </c>
      <c r="Q358">
        <v>29</v>
      </c>
      <c r="R358">
        <v>26</v>
      </c>
      <c r="S358">
        <v>24</v>
      </c>
      <c r="T358">
        <v>17</v>
      </c>
      <c r="U358">
        <v>12</v>
      </c>
      <c r="V358">
        <v>8</v>
      </c>
      <c r="W358">
        <v>6</v>
      </c>
      <c r="X358">
        <v>4</v>
      </c>
      <c r="Y358">
        <v>3</v>
      </c>
      <c r="Z358">
        <v>2</v>
      </c>
      <c r="AA358">
        <v>2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</row>
    <row r="359" spans="2:33" s="37" customFormat="1" outlineLevel="1" x14ac:dyDescent="0.2">
      <c r="B359" s="37" t="s">
        <v>164</v>
      </c>
      <c r="C359" s="37" t="s">
        <v>200</v>
      </c>
      <c r="D359" s="38" t="s">
        <v>201</v>
      </c>
      <c r="E359" s="39">
        <v>5</v>
      </c>
      <c r="F359" s="40">
        <v>1</v>
      </c>
      <c r="G359" s="64">
        <v>445</v>
      </c>
      <c r="H359" s="64"/>
      <c r="I359" s="52">
        <v>445</v>
      </c>
      <c r="J359" s="42">
        <v>13.90625</v>
      </c>
      <c r="K359" s="43">
        <v>7.1910112359550568E-2</v>
      </c>
      <c r="L359" s="44" t="s">
        <v>202</v>
      </c>
      <c r="N359" s="37">
        <v>97</v>
      </c>
      <c r="O359" s="37">
        <v>88</v>
      </c>
      <c r="P359" s="37">
        <v>80</v>
      </c>
      <c r="Q359" s="37">
        <v>73</v>
      </c>
      <c r="R359" s="37">
        <v>66</v>
      </c>
      <c r="S359" s="37">
        <v>60</v>
      </c>
      <c r="T359" s="37">
        <v>42</v>
      </c>
      <c r="U359" s="37">
        <v>29</v>
      </c>
      <c r="V359" s="37">
        <v>20</v>
      </c>
      <c r="W359" s="37">
        <v>14</v>
      </c>
      <c r="X359" s="37">
        <v>10</v>
      </c>
      <c r="Y359" s="37">
        <v>7</v>
      </c>
      <c r="Z359" s="37">
        <v>5</v>
      </c>
      <c r="AA359" s="37">
        <v>4</v>
      </c>
      <c r="AB359" s="37">
        <v>3</v>
      </c>
      <c r="AC359" s="37">
        <v>2</v>
      </c>
      <c r="AD359" s="37">
        <v>1</v>
      </c>
      <c r="AE359" s="37">
        <v>1</v>
      </c>
      <c r="AF359" s="37">
        <v>1</v>
      </c>
      <c r="AG359" s="37">
        <v>1</v>
      </c>
    </row>
    <row r="360" spans="2:33" x14ac:dyDescent="0.2">
      <c r="B360" t="s">
        <v>164</v>
      </c>
      <c r="C360" t="s">
        <v>203</v>
      </c>
      <c r="D360" s="1" t="s">
        <v>204</v>
      </c>
      <c r="E360" s="2">
        <v>1</v>
      </c>
      <c r="F360" s="18">
        <v>1</v>
      </c>
      <c r="G360" s="48">
        <v>13</v>
      </c>
      <c r="H360" s="48"/>
      <c r="I360" s="49">
        <v>13</v>
      </c>
      <c r="J360" s="24">
        <v>0.40625</v>
      </c>
      <c r="K360" s="22">
        <v>2.4615384615384617</v>
      </c>
      <c r="L360" s="5" t="s">
        <v>205</v>
      </c>
      <c r="N360">
        <v>2</v>
      </c>
      <c r="O360">
        <v>2</v>
      </c>
      <c r="P360">
        <v>2</v>
      </c>
      <c r="Q360">
        <v>2</v>
      </c>
      <c r="R360">
        <v>2</v>
      </c>
      <c r="S360">
        <v>2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</row>
    <row r="361" spans="2:33" outlineLevel="1" x14ac:dyDescent="0.2">
      <c r="B361" t="s">
        <v>164</v>
      </c>
      <c r="C361" t="s">
        <v>206</v>
      </c>
      <c r="D361" s="1" t="s">
        <v>207</v>
      </c>
      <c r="E361" s="2">
        <v>2</v>
      </c>
      <c r="F361" s="18">
        <v>1</v>
      </c>
      <c r="G361" s="48">
        <v>32</v>
      </c>
      <c r="H361" s="48"/>
      <c r="I361" s="49">
        <v>32</v>
      </c>
      <c r="J361" s="24">
        <v>1</v>
      </c>
      <c r="K361" s="22">
        <v>1</v>
      </c>
      <c r="L361" s="53" t="s">
        <v>205</v>
      </c>
      <c r="N361">
        <v>6</v>
      </c>
      <c r="O361">
        <v>6</v>
      </c>
      <c r="P361">
        <v>5</v>
      </c>
      <c r="Q361">
        <v>5</v>
      </c>
      <c r="R361">
        <v>4</v>
      </c>
      <c r="S361">
        <v>4</v>
      </c>
      <c r="T361">
        <v>3</v>
      </c>
      <c r="U361">
        <v>2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</row>
    <row r="362" spans="2:33" outlineLevel="1" x14ac:dyDescent="0.2">
      <c r="B362" t="s">
        <v>164</v>
      </c>
      <c r="C362" t="s">
        <v>208</v>
      </c>
      <c r="D362" s="1" t="s">
        <v>209</v>
      </c>
      <c r="E362" s="2">
        <v>3</v>
      </c>
      <c r="F362" s="18">
        <v>1</v>
      </c>
      <c r="G362" s="48">
        <v>80</v>
      </c>
      <c r="H362" s="48"/>
      <c r="I362" s="49">
        <v>80</v>
      </c>
      <c r="J362" s="24">
        <v>2.5</v>
      </c>
      <c r="K362" s="22">
        <v>0.4</v>
      </c>
      <c r="L362" s="53" t="s">
        <v>205</v>
      </c>
      <c r="N362">
        <v>16</v>
      </c>
      <c r="O362">
        <v>14</v>
      </c>
      <c r="P362">
        <v>13</v>
      </c>
      <c r="Q362">
        <v>12</v>
      </c>
      <c r="R362">
        <v>10</v>
      </c>
      <c r="S362">
        <v>10</v>
      </c>
      <c r="T362">
        <v>7</v>
      </c>
      <c r="U362">
        <v>5</v>
      </c>
      <c r="V362">
        <v>3</v>
      </c>
      <c r="W362">
        <v>2</v>
      </c>
      <c r="X362">
        <v>2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</row>
    <row r="363" spans="2:33" outlineLevel="1" x14ac:dyDescent="0.2">
      <c r="B363" t="s">
        <v>164</v>
      </c>
      <c r="C363" t="s">
        <v>210</v>
      </c>
      <c r="D363" s="1" t="s">
        <v>211</v>
      </c>
      <c r="E363" s="2">
        <v>4</v>
      </c>
      <c r="F363" s="18">
        <v>1</v>
      </c>
      <c r="G363" s="48">
        <v>201</v>
      </c>
      <c r="H363" s="48"/>
      <c r="I363" s="49">
        <v>201</v>
      </c>
      <c r="J363" s="24">
        <v>6.28125</v>
      </c>
      <c r="K363" s="22">
        <v>0.15920398009950248</v>
      </c>
      <c r="L363" s="53" t="s">
        <v>205</v>
      </c>
      <c r="N363">
        <v>39</v>
      </c>
      <c r="O363">
        <v>35</v>
      </c>
      <c r="P363">
        <v>32</v>
      </c>
      <c r="Q363">
        <v>29</v>
      </c>
      <c r="R363">
        <v>26</v>
      </c>
      <c r="S363">
        <v>24</v>
      </c>
      <c r="T363">
        <v>17</v>
      </c>
      <c r="U363">
        <v>12</v>
      </c>
      <c r="V363">
        <v>8</v>
      </c>
      <c r="W363">
        <v>6</v>
      </c>
      <c r="X363">
        <v>4</v>
      </c>
      <c r="Y363">
        <v>3</v>
      </c>
      <c r="Z363">
        <v>2</v>
      </c>
      <c r="AA363">
        <v>2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</row>
    <row r="364" spans="2:33" outlineLevel="1" x14ac:dyDescent="0.2">
      <c r="B364" t="s">
        <v>164</v>
      </c>
      <c r="C364" t="s">
        <v>212</v>
      </c>
      <c r="D364" s="1" t="s">
        <v>213</v>
      </c>
      <c r="E364" s="2">
        <v>5</v>
      </c>
      <c r="F364" s="18">
        <v>1</v>
      </c>
      <c r="G364" s="65">
        <v>503</v>
      </c>
      <c r="H364" s="65"/>
      <c r="I364" s="49">
        <v>503</v>
      </c>
      <c r="J364" s="24">
        <v>15.71875</v>
      </c>
      <c r="K364" s="22">
        <v>6.3618290258449298E-2</v>
      </c>
      <c r="L364" s="66" t="s">
        <v>214</v>
      </c>
      <c r="N364">
        <v>97</v>
      </c>
      <c r="O364">
        <v>88</v>
      </c>
      <c r="P364">
        <v>80</v>
      </c>
      <c r="Q364">
        <v>73</v>
      </c>
      <c r="R364">
        <v>66</v>
      </c>
      <c r="S364">
        <v>60</v>
      </c>
      <c r="T364">
        <v>42</v>
      </c>
      <c r="U364">
        <v>29</v>
      </c>
      <c r="V364">
        <v>20</v>
      </c>
      <c r="W364">
        <v>14</v>
      </c>
      <c r="X364">
        <v>10</v>
      </c>
      <c r="Y364">
        <v>7</v>
      </c>
      <c r="Z364">
        <v>5</v>
      </c>
      <c r="AA364">
        <v>4</v>
      </c>
      <c r="AB364">
        <v>3</v>
      </c>
      <c r="AC364">
        <v>2</v>
      </c>
      <c r="AD364">
        <v>1</v>
      </c>
      <c r="AE364">
        <v>1</v>
      </c>
      <c r="AF364">
        <v>1</v>
      </c>
      <c r="AG364">
        <v>1</v>
      </c>
    </row>
    <row r="365" spans="2:33" s="27" customFormat="1" x14ac:dyDescent="0.2">
      <c r="B365" s="27" t="s">
        <v>164</v>
      </c>
      <c r="C365" s="27" t="s">
        <v>215</v>
      </c>
      <c r="D365" s="29" t="s">
        <v>216</v>
      </c>
      <c r="E365" s="30">
        <v>1</v>
      </c>
      <c r="F365" s="31">
        <v>1</v>
      </c>
      <c r="G365" s="46">
        <v>19</v>
      </c>
      <c r="H365" s="46"/>
      <c r="I365" s="47">
        <v>19</v>
      </c>
      <c r="J365" s="33">
        <v>0.59375</v>
      </c>
      <c r="K365" s="34">
        <v>1.6842105263157894</v>
      </c>
      <c r="L365" s="35" t="s">
        <v>217</v>
      </c>
      <c r="N365" s="27">
        <v>3</v>
      </c>
      <c r="O365" s="27">
        <v>3</v>
      </c>
      <c r="P365" s="27">
        <v>3</v>
      </c>
      <c r="Q365" s="27">
        <v>3</v>
      </c>
      <c r="R365" s="27">
        <v>3</v>
      </c>
      <c r="S365" s="27">
        <v>3</v>
      </c>
      <c r="T365" s="27">
        <v>2</v>
      </c>
      <c r="U365" s="27">
        <v>2</v>
      </c>
      <c r="V365" s="27">
        <v>2</v>
      </c>
      <c r="W365" s="27">
        <v>2</v>
      </c>
      <c r="X365" s="27">
        <v>2</v>
      </c>
      <c r="Y365" s="27">
        <v>2</v>
      </c>
      <c r="Z365" s="27">
        <v>2</v>
      </c>
      <c r="AA365" s="27">
        <v>2</v>
      </c>
      <c r="AB365" s="27">
        <v>2</v>
      </c>
      <c r="AC365" s="27">
        <v>2</v>
      </c>
      <c r="AD365" s="27">
        <v>2</v>
      </c>
      <c r="AE365" s="27">
        <v>2</v>
      </c>
      <c r="AF365" s="27">
        <v>2</v>
      </c>
      <c r="AG365" s="27">
        <v>2</v>
      </c>
    </row>
    <row r="366" spans="2:33" outlineLevel="1" x14ac:dyDescent="0.2">
      <c r="B366" t="s">
        <v>164</v>
      </c>
      <c r="C366" t="s">
        <v>218</v>
      </c>
      <c r="D366" s="1" t="s">
        <v>219</v>
      </c>
      <c r="E366" s="2">
        <v>2</v>
      </c>
      <c r="F366" s="18">
        <v>1</v>
      </c>
      <c r="G366" s="48">
        <v>47</v>
      </c>
      <c r="H366" s="48"/>
      <c r="I366" s="49">
        <v>47</v>
      </c>
      <c r="J366" s="24">
        <v>1.46875</v>
      </c>
      <c r="K366" s="22">
        <v>0.68085106382978722</v>
      </c>
      <c r="L366" s="53" t="s">
        <v>217</v>
      </c>
      <c r="N366">
        <v>9</v>
      </c>
      <c r="O366">
        <v>9</v>
      </c>
      <c r="P366">
        <v>7</v>
      </c>
      <c r="Q366">
        <v>7</v>
      </c>
      <c r="R366">
        <v>6</v>
      </c>
      <c r="S366">
        <v>6</v>
      </c>
      <c r="T366">
        <v>5</v>
      </c>
      <c r="U366">
        <v>3</v>
      </c>
      <c r="V366">
        <v>2</v>
      </c>
      <c r="W366">
        <v>2</v>
      </c>
      <c r="X366">
        <v>2</v>
      </c>
      <c r="Y366">
        <v>2</v>
      </c>
      <c r="Z366">
        <v>2</v>
      </c>
      <c r="AA366">
        <v>2</v>
      </c>
      <c r="AB366">
        <v>2</v>
      </c>
      <c r="AC366">
        <v>2</v>
      </c>
      <c r="AD366">
        <v>2</v>
      </c>
      <c r="AE366">
        <v>2</v>
      </c>
      <c r="AF366">
        <v>2</v>
      </c>
      <c r="AG366">
        <v>2</v>
      </c>
    </row>
    <row r="367" spans="2:33" outlineLevel="1" x14ac:dyDescent="0.2">
      <c r="B367" t="s">
        <v>164</v>
      </c>
      <c r="C367" s="67" t="s">
        <v>220</v>
      </c>
      <c r="D367" s="1" t="s">
        <v>221</v>
      </c>
      <c r="E367" s="2">
        <v>3</v>
      </c>
      <c r="F367" s="18">
        <v>1</v>
      </c>
      <c r="G367" s="48">
        <v>118</v>
      </c>
      <c r="H367" s="48"/>
      <c r="I367" s="49">
        <v>118</v>
      </c>
      <c r="J367" s="24">
        <v>3.6875</v>
      </c>
      <c r="K367" s="22">
        <v>0.2711864406779661</v>
      </c>
      <c r="L367" s="53" t="s">
        <v>217</v>
      </c>
      <c r="N367">
        <v>23</v>
      </c>
      <c r="O367">
        <v>20</v>
      </c>
      <c r="P367">
        <v>19</v>
      </c>
      <c r="Q367">
        <v>17</v>
      </c>
      <c r="R367">
        <v>14</v>
      </c>
      <c r="S367">
        <v>14</v>
      </c>
      <c r="T367">
        <v>10</v>
      </c>
      <c r="U367">
        <v>7</v>
      </c>
      <c r="V367">
        <v>5</v>
      </c>
      <c r="W367">
        <v>3</v>
      </c>
      <c r="X367">
        <v>3</v>
      </c>
      <c r="Y367">
        <v>2</v>
      </c>
      <c r="Z367">
        <v>2</v>
      </c>
      <c r="AA367">
        <v>2</v>
      </c>
      <c r="AB367">
        <v>2</v>
      </c>
      <c r="AC367">
        <v>2</v>
      </c>
      <c r="AD367">
        <v>2</v>
      </c>
      <c r="AE367">
        <v>2</v>
      </c>
      <c r="AF367">
        <v>2</v>
      </c>
      <c r="AG367">
        <v>2</v>
      </c>
    </row>
    <row r="368" spans="2:33" outlineLevel="1" x14ac:dyDescent="0.2">
      <c r="B368" t="s">
        <v>164</v>
      </c>
      <c r="C368" s="67" t="s">
        <v>222</v>
      </c>
      <c r="D368" s="1" t="s">
        <v>223</v>
      </c>
      <c r="E368" s="2">
        <v>4</v>
      </c>
      <c r="F368" s="18">
        <v>1</v>
      </c>
      <c r="G368" s="48">
        <v>294</v>
      </c>
      <c r="H368" s="48"/>
      <c r="I368" s="49">
        <v>294</v>
      </c>
      <c r="J368" s="24">
        <v>9.1875</v>
      </c>
      <c r="K368" s="22">
        <v>0.10884353741496598</v>
      </c>
      <c r="L368" s="53" t="s">
        <v>217</v>
      </c>
      <c r="N368">
        <v>55</v>
      </c>
      <c r="O368">
        <v>49</v>
      </c>
      <c r="P368">
        <v>45</v>
      </c>
      <c r="Q368">
        <v>41</v>
      </c>
      <c r="R368">
        <v>37</v>
      </c>
      <c r="S368">
        <v>34</v>
      </c>
      <c r="T368">
        <v>24</v>
      </c>
      <c r="U368">
        <v>17</v>
      </c>
      <c r="V368">
        <v>12</v>
      </c>
      <c r="W368">
        <v>9</v>
      </c>
      <c r="X368">
        <v>6</v>
      </c>
      <c r="Y368">
        <v>5</v>
      </c>
      <c r="Z368">
        <v>3</v>
      </c>
      <c r="AA368">
        <v>3</v>
      </c>
      <c r="AB368">
        <v>2</v>
      </c>
      <c r="AC368">
        <v>2</v>
      </c>
      <c r="AD368">
        <v>2</v>
      </c>
      <c r="AE368">
        <v>2</v>
      </c>
      <c r="AF368">
        <v>2</v>
      </c>
      <c r="AG368">
        <v>2</v>
      </c>
    </row>
    <row r="369" spans="2:33" s="37" customFormat="1" outlineLevel="1" x14ac:dyDescent="0.2">
      <c r="B369" s="37" t="s">
        <v>164</v>
      </c>
      <c r="C369" s="68" t="s">
        <v>224</v>
      </c>
      <c r="D369" s="38" t="s">
        <v>225</v>
      </c>
      <c r="E369" s="39">
        <v>5</v>
      </c>
      <c r="F369" s="40">
        <v>1</v>
      </c>
      <c r="G369" s="64">
        <v>735</v>
      </c>
      <c r="H369" s="64"/>
      <c r="I369" s="52">
        <v>735</v>
      </c>
      <c r="J369" s="42">
        <v>22.96875</v>
      </c>
      <c r="K369" s="43">
        <v>4.3537414965986392E-2</v>
      </c>
      <c r="L369" s="44" t="s">
        <v>226</v>
      </c>
      <c r="N369" s="37">
        <v>136</v>
      </c>
      <c r="O369" s="37">
        <v>124</v>
      </c>
      <c r="P369" s="37">
        <v>112</v>
      </c>
      <c r="Q369" s="37">
        <v>103</v>
      </c>
      <c r="R369" s="37">
        <v>93</v>
      </c>
      <c r="S369" s="37">
        <v>84</v>
      </c>
      <c r="T369" s="37">
        <v>59</v>
      </c>
      <c r="U369" s="37">
        <v>41</v>
      </c>
      <c r="V369" s="37">
        <v>28</v>
      </c>
      <c r="W369" s="37">
        <v>20</v>
      </c>
      <c r="X369" s="37">
        <v>14</v>
      </c>
      <c r="Y369" s="37">
        <v>10</v>
      </c>
      <c r="Z369" s="37">
        <v>7</v>
      </c>
      <c r="AA369" s="37">
        <v>6</v>
      </c>
      <c r="AB369" s="37">
        <v>5</v>
      </c>
      <c r="AC369" s="37">
        <v>3</v>
      </c>
      <c r="AD369" s="37">
        <v>2</v>
      </c>
      <c r="AE369" s="37">
        <v>2</v>
      </c>
      <c r="AF369" s="37">
        <v>2</v>
      </c>
      <c r="AG369" s="37">
        <v>2</v>
      </c>
    </row>
    <row r="370" spans="2:33" s="27" customFormat="1" x14ac:dyDescent="0.2">
      <c r="B370" s="27" t="s">
        <v>164</v>
      </c>
      <c r="C370" s="27" t="s">
        <v>227</v>
      </c>
      <c r="D370" s="29" t="s">
        <v>228</v>
      </c>
      <c r="E370" s="30">
        <v>1</v>
      </c>
      <c r="F370" s="31">
        <v>1</v>
      </c>
      <c r="G370" s="46">
        <v>15</v>
      </c>
      <c r="H370" s="46"/>
      <c r="I370" s="47">
        <v>15</v>
      </c>
      <c r="J370" s="33">
        <v>0.46875</v>
      </c>
      <c r="K370" s="34">
        <v>2.1333333333333333</v>
      </c>
      <c r="L370" s="35" t="s">
        <v>229</v>
      </c>
      <c r="N370" s="27">
        <v>2</v>
      </c>
      <c r="O370" s="27">
        <v>2</v>
      </c>
      <c r="P370" s="27">
        <v>2</v>
      </c>
      <c r="Q370" s="27">
        <v>2</v>
      </c>
      <c r="R370" s="27">
        <v>2</v>
      </c>
      <c r="S370" s="27">
        <v>2</v>
      </c>
      <c r="T370" s="27">
        <v>1</v>
      </c>
      <c r="U370" s="27">
        <v>1</v>
      </c>
      <c r="V370" s="27">
        <v>1</v>
      </c>
      <c r="W370" s="27">
        <v>1</v>
      </c>
      <c r="X370" s="27">
        <v>1</v>
      </c>
      <c r="Y370" s="27">
        <v>1</v>
      </c>
      <c r="Z370" s="27">
        <v>1</v>
      </c>
      <c r="AA370" s="27">
        <v>1</v>
      </c>
      <c r="AB370" s="27">
        <v>1</v>
      </c>
      <c r="AC370" s="27">
        <v>1</v>
      </c>
      <c r="AD370" s="27">
        <v>1</v>
      </c>
      <c r="AE370" s="27">
        <v>1</v>
      </c>
      <c r="AF370" s="27">
        <v>1</v>
      </c>
      <c r="AG370" s="27">
        <v>1</v>
      </c>
    </row>
    <row r="371" spans="2:33" outlineLevel="1" x14ac:dyDescent="0.2">
      <c r="B371" t="s">
        <v>164</v>
      </c>
      <c r="C371" t="s">
        <v>230</v>
      </c>
      <c r="D371" s="1" t="s">
        <v>231</v>
      </c>
      <c r="E371" s="2">
        <v>2</v>
      </c>
      <c r="F371" s="18">
        <v>1</v>
      </c>
      <c r="G371" s="48">
        <v>37</v>
      </c>
      <c r="H371" s="48"/>
      <c r="I371" s="49">
        <v>37</v>
      </c>
      <c r="J371" s="24">
        <v>1.15625</v>
      </c>
      <c r="K371" s="22">
        <v>0.86486486486486491</v>
      </c>
      <c r="L371" s="53" t="s">
        <v>229</v>
      </c>
      <c r="N371">
        <v>6</v>
      </c>
      <c r="O371">
        <v>6</v>
      </c>
      <c r="P371">
        <v>5</v>
      </c>
      <c r="Q371">
        <v>5</v>
      </c>
      <c r="R371">
        <v>4</v>
      </c>
      <c r="S371">
        <v>4</v>
      </c>
      <c r="T371">
        <v>3</v>
      </c>
      <c r="U371">
        <v>2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</row>
    <row r="372" spans="2:33" outlineLevel="1" x14ac:dyDescent="0.2">
      <c r="B372" t="s">
        <v>164</v>
      </c>
      <c r="C372" t="s">
        <v>232</v>
      </c>
      <c r="D372" s="1" t="s">
        <v>231</v>
      </c>
      <c r="E372" s="2">
        <v>3</v>
      </c>
      <c r="F372" s="18">
        <v>1</v>
      </c>
      <c r="G372" s="48">
        <v>93</v>
      </c>
      <c r="H372" s="48"/>
      <c r="I372" s="49">
        <v>93</v>
      </c>
      <c r="J372" s="24">
        <v>2.90625</v>
      </c>
      <c r="K372" s="22">
        <v>0.34408602150537637</v>
      </c>
      <c r="L372" s="53" t="s">
        <v>229</v>
      </c>
      <c r="N372">
        <v>16</v>
      </c>
      <c r="O372">
        <v>14</v>
      </c>
      <c r="P372">
        <v>13</v>
      </c>
      <c r="Q372">
        <v>12</v>
      </c>
      <c r="R372">
        <v>10</v>
      </c>
      <c r="S372">
        <v>10</v>
      </c>
      <c r="T372">
        <v>7</v>
      </c>
      <c r="U372">
        <v>5</v>
      </c>
      <c r="V372">
        <v>3</v>
      </c>
      <c r="W372">
        <v>2</v>
      </c>
      <c r="X372">
        <v>2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</row>
    <row r="373" spans="2:33" outlineLevel="1" x14ac:dyDescent="0.2">
      <c r="B373" t="s">
        <v>164</v>
      </c>
      <c r="C373" t="s">
        <v>233</v>
      </c>
      <c r="D373" s="1" t="s">
        <v>231</v>
      </c>
      <c r="E373" s="2">
        <v>4</v>
      </c>
      <c r="F373" s="18">
        <v>1</v>
      </c>
      <c r="G373" s="48">
        <v>232</v>
      </c>
      <c r="H373" s="48"/>
      <c r="I373" s="49">
        <v>232</v>
      </c>
      <c r="J373" s="24">
        <v>7.25</v>
      </c>
      <c r="K373" s="22">
        <v>0.13793103448275862</v>
      </c>
      <c r="L373" s="53" t="s">
        <v>229</v>
      </c>
      <c r="N373">
        <v>39</v>
      </c>
      <c r="O373">
        <v>35</v>
      </c>
      <c r="P373">
        <v>32</v>
      </c>
      <c r="Q373">
        <v>29</v>
      </c>
      <c r="R373">
        <v>26</v>
      </c>
      <c r="S373">
        <v>24</v>
      </c>
      <c r="T373">
        <v>17</v>
      </c>
      <c r="U373">
        <v>12</v>
      </c>
      <c r="V373">
        <v>8</v>
      </c>
      <c r="W373">
        <v>6</v>
      </c>
      <c r="X373">
        <v>4</v>
      </c>
      <c r="Y373">
        <v>3</v>
      </c>
      <c r="Z373">
        <v>2</v>
      </c>
      <c r="AA373">
        <v>2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</row>
    <row r="374" spans="2:33" s="37" customFormat="1" outlineLevel="1" x14ac:dyDescent="0.2">
      <c r="B374" s="37" t="s">
        <v>164</v>
      </c>
      <c r="C374" s="37" t="s">
        <v>234</v>
      </c>
      <c r="D374" s="38" t="s">
        <v>231</v>
      </c>
      <c r="E374" s="39">
        <v>5</v>
      </c>
      <c r="F374" s="40">
        <v>1</v>
      </c>
      <c r="G374" s="64">
        <v>580</v>
      </c>
      <c r="H374" s="64"/>
      <c r="I374" s="52">
        <v>580</v>
      </c>
      <c r="J374" s="42">
        <v>18.125</v>
      </c>
      <c r="K374" s="43">
        <v>5.5172413793103448E-2</v>
      </c>
      <c r="L374" s="44" t="s">
        <v>235</v>
      </c>
      <c r="N374" s="37">
        <v>97</v>
      </c>
      <c r="O374" s="37">
        <v>88</v>
      </c>
      <c r="P374" s="37">
        <v>80</v>
      </c>
      <c r="Q374" s="37">
        <v>73</v>
      </c>
      <c r="R374" s="37">
        <v>66</v>
      </c>
      <c r="S374" s="37">
        <v>60</v>
      </c>
      <c r="T374" s="37">
        <v>42</v>
      </c>
      <c r="U374" s="37">
        <v>29</v>
      </c>
      <c r="V374" s="37">
        <v>20</v>
      </c>
      <c r="W374" s="37">
        <v>14</v>
      </c>
      <c r="X374" s="37">
        <v>10</v>
      </c>
      <c r="Y374" s="37">
        <v>7</v>
      </c>
      <c r="Z374" s="37">
        <v>5</v>
      </c>
      <c r="AA374" s="37">
        <v>4</v>
      </c>
      <c r="AB374" s="37">
        <v>3</v>
      </c>
      <c r="AC374" s="37">
        <v>2</v>
      </c>
      <c r="AD374" s="37">
        <v>1</v>
      </c>
      <c r="AE374" s="37">
        <v>1</v>
      </c>
      <c r="AF374" s="37">
        <v>1</v>
      </c>
      <c r="AG374" s="37">
        <v>1</v>
      </c>
    </row>
    <row r="375" spans="2:33" x14ac:dyDescent="0.2">
      <c r="G375" s="48"/>
      <c r="H375" s="48"/>
      <c r="I375" s="49"/>
      <c r="J375" s="24"/>
      <c r="K375" s="69"/>
    </row>
    <row r="376" spans="2:33" x14ac:dyDescent="0.2">
      <c r="G376" s="48"/>
      <c r="H376" s="48"/>
      <c r="I376" s="49"/>
      <c r="J376" s="24"/>
      <c r="K376" s="69"/>
    </row>
    <row r="377" spans="2:33" x14ac:dyDescent="0.2">
      <c r="G377" s="48"/>
      <c r="H377" s="48"/>
      <c r="I377" s="49"/>
      <c r="J377" s="24"/>
      <c r="K377" s="69"/>
    </row>
    <row r="378" spans="2:33" x14ac:dyDescent="0.2">
      <c r="G378" s="48"/>
      <c r="H378" s="48"/>
      <c r="I378" s="49"/>
      <c r="J378" s="24"/>
      <c r="K378" s="69"/>
    </row>
    <row r="379" spans="2:33" x14ac:dyDescent="0.2">
      <c r="G379" s="48"/>
      <c r="H379" s="48"/>
      <c r="I379" s="49"/>
      <c r="J379" s="24"/>
      <c r="K379" s="69"/>
    </row>
    <row r="380" spans="2:33" x14ac:dyDescent="0.2">
      <c r="G380" s="48"/>
      <c r="H380" s="48"/>
      <c r="I380" s="49"/>
      <c r="J380" s="24"/>
      <c r="K380" s="69"/>
    </row>
    <row r="381" spans="2:33" x14ac:dyDescent="0.2">
      <c r="G381" s="48"/>
      <c r="H381" s="48"/>
      <c r="I381" s="49"/>
      <c r="J381" s="24"/>
      <c r="K381" s="69"/>
    </row>
    <row r="382" spans="2:33" x14ac:dyDescent="0.2">
      <c r="G382" s="48"/>
      <c r="H382" s="48"/>
      <c r="I382" s="49"/>
      <c r="J382" s="24"/>
      <c r="K382" s="69"/>
    </row>
    <row r="383" spans="2:33" x14ac:dyDescent="0.2">
      <c r="G383" s="48"/>
      <c r="H383" s="48"/>
      <c r="I383" s="49"/>
      <c r="J383" s="24"/>
      <c r="K383" s="69"/>
    </row>
    <row r="384" spans="2:33" x14ac:dyDescent="0.2">
      <c r="G384" s="48"/>
      <c r="H384" s="48"/>
      <c r="I384" s="49"/>
      <c r="J384" s="24"/>
      <c r="K384" s="69"/>
    </row>
    <row r="385" spans="7:11" x14ac:dyDescent="0.2">
      <c r="G385" s="48"/>
      <c r="H385" s="48"/>
      <c r="I385" s="49"/>
      <c r="J385" s="24"/>
      <c r="K385" s="69"/>
    </row>
    <row r="386" spans="7:11" x14ac:dyDescent="0.2">
      <c r="G386" s="48"/>
      <c r="H386" s="48"/>
      <c r="I386" s="49"/>
      <c r="J386" s="24"/>
      <c r="K386" s="69"/>
    </row>
    <row r="387" spans="7:11" x14ac:dyDescent="0.2">
      <c r="G387" s="48"/>
      <c r="H387" s="48"/>
      <c r="I387" s="49"/>
      <c r="J387" s="24"/>
      <c r="K387" s="69"/>
    </row>
    <row r="388" spans="7:11" x14ac:dyDescent="0.2">
      <c r="G388" s="48"/>
      <c r="H388" s="48"/>
      <c r="I388" s="49"/>
      <c r="J388" s="24"/>
      <c r="K388" s="69"/>
    </row>
    <row r="389" spans="7:11" x14ac:dyDescent="0.2">
      <c r="G389" s="48"/>
      <c r="H389" s="48"/>
      <c r="I389" s="49"/>
      <c r="J389" s="24"/>
      <c r="K389" s="69"/>
    </row>
    <row r="390" spans="7:11" x14ac:dyDescent="0.2">
      <c r="G390" s="48"/>
      <c r="H390" s="48"/>
      <c r="I390" s="49"/>
      <c r="J390" s="24"/>
      <c r="K390" s="69"/>
    </row>
    <row r="391" spans="7:11" x14ac:dyDescent="0.2">
      <c r="G391" s="48"/>
      <c r="H391" s="48"/>
      <c r="I391" s="49"/>
      <c r="J391" s="24"/>
      <c r="K391" s="69"/>
    </row>
    <row r="392" spans="7:11" x14ac:dyDescent="0.2">
      <c r="G392" s="48"/>
      <c r="H392" s="48"/>
      <c r="I392" s="49"/>
      <c r="J392" s="24"/>
      <c r="K392" s="69"/>
    </row>
    <row r="393" spans="7:11" x14ac:dyDescent="0.2">
      <c r="G393" s="48"/>
      <c r="H393" s="48"/>
      <c r="I393" s="49"/>
      <c r="J393" s="24"/>
      <c r="K393" s="69"/>
    </row>
    <row r="394" spans="7:11" x14ac:dyDescent="0.2">
      <c r="G394" s="48"/>
      <c r="H394" s="48"/>
      <c r="I394" s="49"/>
      <c r="J394" s="24"/>
      <c r="K394" s="69"/>
    </row>
    <row r="395" spans="7:11" x14ac:dyDescent="0.2">
      <c r="G395" s="48"/>
      <c r="H395" s="48"/>
      <c r="I395" s="49"/>
      <c r="J395" s="24"/>
      <c r="K395" s="69"/>
    </row>
    <row r="396" spans="7:11" x14ac:dyDescent="0.2">
      <c r="G396" s="48"/>
      <c r="H396" s="48"/>
      <c r="I396" s="49"/>
      <c r="J396" s="24"/>
      <c r="K396" s="69"/>
    </row>
    <row r="397" spans="7:11" x14ac:dyDescent="0.2">
      <c r="G397" s="48"/>
      <c r="H397" s="48"/>
      <c r="I397" s="49"/>
      <c r="J397" s="24"/>
      <c r="K397" s="69"/>
    </row>
    <row r="398" spans="7:11" x14ac:dyDescent="0.2">
      <c r="G398" s="48"/>
      <c r="H398" s="48"/>
      <c r="I398" s="49"/>
      <c r="J398" s="24"/>
      <c r="K398" s="69"/>
    </row>
    <row r="399" spans="7:11" x14ac:dyDescent="0.2">
      <c r="G399" s="48"/>
      <c r="H399" s="48"/>
      <c r="I399" s="49"/>
      <c r="J399" s="24"/>
      <c r="K399" s="69"/>
    </row>
    <row r="400" spans="7:11" x14ac:dyDescent="0.2">
      <c r="G400" s="48"/>
      <c r="H400" s="48"/>
      <c r="I400" s="49"/>
      <c r="J400" s="24"/>
      <c r="K400" s="69"/>
    </row>
    <row r="401" spans="7:11" x14ac:dyDescent="0.2">
      <c r="G401" s="48"/>
      <c r="H401" s="48"/>
      <c r="I401" s="49"/>
      <c r="J401" s="24"/>
      <c r="K401" s="69"/>
    </row>
    <row r="402" spans="7:11" x14ac:dyDescent="0.2">
      <c r="G402" s="48"/>
      <c r="H402" s="48"/>
      <c r="I402" s="49"/>
      <c r="J402" s="24"/>
      <c r="K402" s="69"/>
    </row>
    <row r="403" spans="7:11" x14ac:dyDescent="0.2">
      <c r="G403" s="48"/>
      <c r="H403" s="48"/>
      <c r="I403" s="49"/>
      <c r="J403" s="24"/>
      <c r="K403" s="69"/>
    </row>
    <row r="404" spans="7:11" x14ac:dyDescent="0.2">
      <c r="G404" s="48"/>
      <c r="H404" s="48"/>
      <c r="I404" s="49"/>
      <c r="J404" s="24"/>
      <c r="K404" s="69"/>
    </row>
    <row r="405" spans="7:11" x14ac:dyDescent="0.2">
      <c r="G405" s="48"/>
      <c r="H405" s="48"/>
      <c r="I405" s="49"/>
      <c r="J405" s="24"/>
      <c r="K405" s="69"/>
    </row>
    <row r="406" spans="7:11" x14ac:dyDescent="0.2">
      <c r="G406" s="48"/>
      <c r="H406" s="48"/>
      <c r="I406" s="49"/>
      <c r="J406" s="24"/>
      <c r="K406" s="69"/>
    </row>
    <row r="407" spans="7:11" x14ac:dyDescent="0.2">
      <c r="G407" s="48"/>
      <c r="H407" s="48"/>
      <c r="I407" s="49"/>
      <c r="J407" s="24"/>
      <c r="K407" s="69"/>
    </row>
    <row r="408" spans="7:11" x14ac:dyDescent="0.2">
      <c r="G408" s="48"/>
      <c r="H408" s="48"/>
      <c r="I408" s="49"/>
      <c r="J408" s="24"/>
      <c r="K408" s="69"/>
    </row>
    <row r="409" spans="7:11" x14ac:dyDescent="0.2">
      <c r="G409" s="48"/>
      <c r="H409" s="48"/>
      <c r="I409" s="49"/>
      <c r="J409" s="24"/>
      <c r="K409" s="69"/>
    </row>
    <row r="410" spans="7:11" x14ac:dyDescent="0.2">
      <c r="G410" s="48"/>
      <c r="H410" s="48"/>
      <c r="I410" s="49"/>
      <c r="J410" s="24"/>
      <c r="K410" s="69"/>
    </row>
    <row r="411" spans="7:11" x14ac:dyDescent="0.2">
      <c r="G411" s="48"/>
      <c r="H411" s="48"/>
      <c r="I411" s="49"/>
      <c r="J411" s="24"/>
      <c r="K411" s="69"/>
    </row>
    <row r="412" spans="7:11" x14ac:dyDescent="0.2">
      <c r="G412" s="48"/>
      <c r="H412" s="48"/>
      <c r="I412" s="49"/>
      <c r="J412" s="24"/>
      <c r="K412" s="69"/>
    </row>
    <row r="413" spans="7:11" x14ac:dyDescent="0.2">
      <c r="G413" s="48"/>
      <c r="H413" s="48"/>
      <c r="I413" s="49"/>
      <c r="J413" s="24"/>
      <c r="K413" s="69"/>
    </row>
    <row r="414" spans="7:11" x14ac:dyDescent="0.2">
      <c r="G414" s="48"/>
      <c r="H414" s="48"/>
      <c r="I414" s="49"/>
      <c r="J414" s="24"/>
      <c r="K414" s="69"/>
    </row>
    <row r="415" spans="7:11" x14ac:dyDescent="0.2">
      <c r="G415" s="48"/>
      <c r="H415" s="48"/>
      <c r="I415" s="49"/>
      <c r="J415" s="24"/>
      <c r="K415" s="69"/>
    </row>
    <row r="416" spans="7:11" x14ac:dyDescent="0.2">
      <c r="G416" s="48"/>
      <c r="H416" s="48"/>
      <c r="I416" s="49"/>
      <c r="J416" s="24"/>
      <c r="K416" s="69"/>
    </row>
    <row r="417" spans="7:11" x14ac:dyDescent="0.2">
      <c r="G417" s="48"/>
      <c r="H417" s="48"/>
      <c r="I417" s="49"/>
      <c r="J417" s="24"/>
      <c r="K417" s="69"/>
    </row>
    <row r="418" spans="7:11" x14ac:dyDescent="0.2">
      <c r="G418" s="48"/>
      <c r="H418" s="48"/>
      <c r="I418" s="49"/>
      <c r="J418" s="24"/>
      <c r="K418" s="69"/>
    </row>
    <row r="419" spans="7:11" x14ac:dyDescent="0.2">
      <c r="G419" s="48"/>
      <c r="H419" s="48"/>
      <c r="I419" s="49"/>
      <c r="J419" s="24"/>
      <c r="K419" s="69"/>
    </row>
    <row r="420" spans="7:11" x14ac:dyDescent="0.2">
      <c r="G420" s="48"/>
      <c r="H420" s="48"/>
      <c r="I420" s="49"/>
      <c r="J420" s="24"/>
      <c r="K420" s="69"/>
    </row>
    <row r="421" spans="7:11" x14ac:dyDescent="0.2">
      <c r="G421" s="48"/>
      <c r="H421" s="48"/>
      <c r="I421" s="49"/>
      <c r="J421" s="24"/>
      <c r="K421" s="69"/>
    </row>
    <row r="422" spans="7:11" x14ac:dyDescent="0.2">
      <c r="G422" s="48"/>
      <c r="H422" s="48"/>
      <c r="I422" s="49"/>
      <c r="J422" s="24"/>
      <c r="K422" s="69"/>
    </row>
    <row r="423" spans="7:11" x14ac:dyDescent="0.2">
      <c r="G423" s="48"/>
      <c r="H423" s="48"/>
      <c r="I423" s="49"/>
      <c r="J423" s="24"/>
      <c r="K423" s="69"/>
    </row>
    <row r="424" spans="7:11" x14ac:dyDescent="0.2">
      <c r="G424" s="48"/>
      <c r="H424" s="48"/>
      <c r="I424" s="49"/>
      <c r="J424" s="24"/>
      <c r="K424" s="69"/>
    </row>
    <row r="425" spans="7:11" x14ac:dyDescent="0.2">
      <c r="G425" s="48"/>
      <c r="H425" s="48"/>
      <c r="I425" s="49"/>
      <c r="J425" s="24"/>
      <c r="K425" s="69"/>
    </row>
    <row r="426" spans="7:11" x14ac:dyDescent="0.2">
      <c r="G426" s="48"/>
      <c r="H426" s="48"/>
      <c r="I426" s="49"/>
      <c r="J426" s="24"/>
      <c r="K426" s="69"/>
    </row>
    <row r="427" spans="7:11" x14ac:dyDescent="0.2">
      <c r="G427" s="48"/>
      <c r="H427" s="48"/>
      <c r="I427" s="49"/>
      <c r="J427" s="24"/>
      <c r="K427" s="69"/>
    </row>
    <row r="428" spans="7:11" x14ac:dyDescent="0.2">
      <c r="G428" s="48"/>
      <c r="H428" s="48"/>
      <c r="I428" s="49"/>
      <c r="J428" s="24"/>
      <c r="K428" s="69"/>
    </row>
    <row r="429" spans="7:11" x14ac:dyDescent="0.2">
      <c r="G429" s="48"/>
      <c r="H429" s="48"/>
      <c r="I429" s="49"/>
      <c r="J429" s="24"/>
      <c r="K429" s="69"/>
    </row>
    <row r="430" spans="7:11" x14ac:dyDescent="0.2">
      <c r="G430" s="48"/>
      <c r="H430" s="48"/>
      <c r="I430" s="49"/>
      <c r="J430" s="24"/>
      <c r="K430" s="69"/>
    </row>
    <row r="431" spans="7:11" x14ac:dyDescent="0.2">
      <c r="G431" s="48"/>
      <c r="H431" s="48"/>
      <c r="I431" s="49"/>
      <c r="J431" s="24"/>
      <c r="K431" s="69"/>
    </row>
    <row r="432" spans="7:11" x14ac:dyDescent="0.2">
      <c r="G432" s="48"/>
      <c r="H432" s="48"/>
      <c r="I432" s="49"/>
      <c r="J432" s="24"/>
      <c r="K432" s="69"/>
    </row>
    <row r="433" spans="7:11" x14ac:dyDescent="0.2">
      <c r="G433" s="48"/>
      <c r="H433" s="48"/>
      <c r="I433" s="49"/>
      <c r="J433" s="24"/>
      <c r="K433" s="69"/>
    </row>
    <row r="434" spans="7:11" x14ac:dyDescent="0.2">
      <c r="G434" s="48"/>
      <c r="H434" s="48"/>
      <c r="I434" s="49"/>
      <c r="J434" s="24"/>
      <c r="K434" s="69"/>
    </row>
    <row r="435" spans="7:11" x14ac:dyDescent="0.2">
      <c r="G435" s="48"/>
      <c r="H435" s="48"/>
      <c r="I435" s="49"/>
      <c r="J435" s="24"/>
      <c r="K435" s="69"/>
    </row>
    <row r="436" spans="7:11" x14ac:dyDescent="0.2">
      <c r="G436" s="48"/>
      <c r="H436" s="48"/>
      <c r="I436" s="49"/>
      <c r="J436" s="24"/>
      <c r="K436" s="69"/>
    </row>
    <row r="437" spans="7:11" x14ac:dyDescent="0.2">
      <c r="G437" s="48"/>
      <c r="H437" s="48"/>
      <c r="I437" s="49"/>
      <c r="J437" s="24"/>
      <c r="K437" s="69"/>
    </row>
    <row r="438" spans="7:11" x14ac:dyDescent="0.2">
      <c r="G438" s="48"/>
      <c r="H438" s="48"/>
      <c r="I438" s="49"/>
      <c r="J438" s="24"/>
      <c r="K438" s="69"/>
    </row>
    <row r="439" spans="7:11" x14ac:dyDescent="0.2">
      <c r="G439" s="48"/>
      <c r="H439" s="48"/>
      <c r="I439" s="49"/>
      <c r="J439" s="24"/>
      <c r="K439" s="69"/>
    </row>
    <row r="440" spans="7:11" x14ac:dyDescent="0.2">
      <c r="G440" s="48"/>
      <c r="H440" s="48"/>
      <c r="I440" s="49"/>
      <c r="J440" s="24"/>
      <c r="K440" s="69"/>
    </row>
    <row r="441" spans="7:11" x14ac:dyDescent="0.2">
      <c r="G441" s="48"/>
      <c r="H441" s="48"/>
      <c r="I441" s="49"/>
      <c r="J441" s="24"/>
      <c r="K441" s="69"/>
    </row>
    <row r="442" spans="7:11" x14ac:dyDescent="0.2">
      <c r="G442" s="48"/>
      <c r="H442" s="48"/>
      <c r="I442" s="49"/>
      <c r="J442" s="24"/>
      <c r="K442" s="69"/>
    </row>
    <row r="443" spans="7:11" x14ac:dyDescent="0.2">
      <c r="G443" s="48"/>
      <c r="H443" s="48"/>
      <c r="I443" s="49"/>
      <c r="J443" s="24"/>
      <c r="K443" s="69"/>
    </row>
    <row r="444" spans="7:11" x14ac:dyDescent="0.2">
      <c r="G444" s="48"/>
      <c r="H444" s="48"/>
      <c r="I444" s="49"/>
      <c r="J444" s="24"/>
      <c r="K444" s="69"/>
    </row>
    <row r="445" spans="7:11" x14ac:dyDescent="0.2">
      <c r="G445" s="48"/>
      <c r="H445" s="48"/>
      <c r="I445" s="49"/>
      <c r="J445" s="24"/>
      <c r="K445" s="69"/>
    </row>
    <row r="446" spans="7:11" x14ac:dyDescent="0.2">
      <c r="G446" s="48"/>
      <c r="H446" s="48"/>
      <c r="I446" s="49"/>
      <c r="J446" s="24"/>
      <c r="K446" s="69"/>
    </row>
    <row r="447" spans="7:11" x14ac:dyDescent="0.2">
      <c r="G447" s="48"/>
      <c r="H447" s="48"/>
      <c r="I447" s="49"/>
      <c r="J447" s="24"/>
      <c r="K447" s="69"/>
    </row>
    <row r="448" spans="7:11" x14ac:dyDescent="0.2">
      <c r="G448" s="48"/>
      <c r="H448" s="48"/>
      <c r="I448" s="49"/>
      <c r="J448" s="24"/>
      <c r="K448" s="69"/>
    </row>
    <row r="449" spans="7:11" x14ac:dyDescent="0.2">
      <c r="G449" s="48"/>
      <c r="H449" s="48"/>
      <c r="I449" s="49"/>
      <c r="J449" s="24"/>
      <c r="K449" s="69"/>
    </row>
    <row r="450" spans="7:11" x14ac:dyDescent="0.2">
      <c r="G450" s="48"/>
      <c r="H450" s="48"/>
      <c r="I450" s="49"/>
      <c r="J450" s="24"/>
      <c r="K450" s="69"/>
    </row>
    <row r="451" spans="7:11" x14ac:dyDescent="0.2">
      <c r="G451" s="48"/>
      <c r="H451" s="48"/>
      <c r="I451" s="49"/>
      <c r="J451" s="24"/>
      <c r="K451" s="69"/>
    </row>
    <row r="452" spans="7:11" x14ac:dyDescent="0.2">
      <c r="G452" s="48"/>
      <c r="H452" s="48"/>
      <c r="I452" s="49"/>
      <c r="J452" s="24"/>
      <c r="K452" s="69"/>
    </row>
    <row r="453" spans="7:11" x14ac:dyDescent="0.2">
      <c r="G453" s="48"/>
      <c r="H453" s="48"/>
      <c r="I453" s="49"/>
      <c r="J453" s="24"/>
      <c r="K453" s="69"/>
    </row>
    <row r="454" spans="7:11" x14ac:dyDescent="0.2">
      <c r="G454" s="48"/>
      <c r="H454" s="48"/>
      <c r="I454" s="49"/>
      <c r="J454" s="24"/>
      <c r="K454" s="69"/>
    </row>
    <row r="455" spans="7:11" x14ac:dyDescent="0.2">
      <c r="G455" s="48"/>
      <c r="H455" s="48"/>
      <c r="I455" s="49"/>
      <c r="J455" s="24"/>
      <c r="K455" s="69"/>
    </row>
    <row r="456" spans="7:11" x14ac:dyDescent="0.2">
      <c r="G456" s="48"/>
      <c r="H456" s="48"/>
      <c r="I456" s="49"/>
      <c r="J456" s="24"/>
      <c r="K456" s="69"/>
    </row>
    <row r="457" spans="7:11" x14ac:dyDescent="0.2">
      <c r="G457" s="48"/>
      <c r="H457" s="48"/>
      <c r="I457" s="49"/>
      <c r="J457" s="24"/>
      <c r="K457" s="69"/>
    </row>
    <row r="458" spans="7:11" x14ac:dyDescent="0.2">
      <c r="G458" s="48"/>
      <c r="H458" s="48"/>
      <c r="I458" s="49"/>
      <c r="J458" s="24"/>
      <c r="K458" s="69"/>
    </row>
    <row r="459" spans="7:11" x14ac:dyDescent="0.2">
      <c r="G459" s="48"/>
      <c r="H459" s="48"/>
      <c r="I459" s="49"/>
      <c r="J459" s="24"/>
      <c r="K459" s="69"/>
    </row>
    <row r="460" spans="7:11" x14ac:dyDescent="0.2">
      <c r="G460" s="48"/>
      <c r="H460" s="48"/>
      <c r="I460" s="49"/>
      <c r="J460" s="24"/>
      <c r="K460" s="69"/>
    </row>
    <row r="461" spans="7:11" x14ac:dyDescent="0.2">
      <c r="G461" s="48"/>
      <c r="H461" s="48"/>
      <c r="I461" s="49"/>
      <c r="J461" s="24"/>
      <c r="K461" s="69"/>
    </row>
    <row r="462" spans="7:11" x14ac:dyDescent="0.2">
      <c r="G462" s="48"/>
      <c r="H462" s="48"/>
      <c r="I462" s="49"/>
      <c r="J462" s="24"/>
      <c r="K462" s="69"/>
    </row>
    <row r="463" spans="7:11" x14ac:dyDescent="0.2">
      <c r="G463" s="48"/>
      <c r="H463" s="48"/>
      <c r="I463" s="49"/>
      <c r="J463" s="24"/>
      <c r="K463" s="69"/>
    </row>
    <row r="464" spans="7:11" x14ac:dyDescent="0.2">
      <c r="G464" s="48"/>
      <c r="H464" s="48"/>
      <c r="I464" s="49"/>
      <c r="J464" s="24"/>
      <c r="K464" s="69"/>
    </row>
    <row r="465" spans="7:11" x14ac:dyDescent="0.2">
      <c r="G465" s="48"/>
      <c r="H465" s="48"/>
      <c r="I465" s="49"/>
      <c r="J465" s="24"/>
      <c r="K465" s="69"/>
    </row>
    <row r="466" spans="7:11" x14ac:dyDescent="0.2">
      <c r="G466" s="48"/>
      <c r="H466" s="48"/>
      <c r="I466" s="49"/>
      <c r="J466" s="24"/>
      <c r="K466" s="69"/>
    </row>
    <row r="467" spans="7:11" x14ac:dyDescent="0.2">
      <c r="G467" s="48"/>
      <c r="H467" s="48"/>
      <c r="I467" s="49"/>
      <c r="J467" s="24"/>
      <c r="K467" s="69"/>
    </row>
    <row r="468" spans="7:11" x14ac:dyDescent="0.2">
      <c r="G468" s="48"/>
      <c r="H468" s="48"/>
      <c r="I468" s="49"/>
      <c r="J468" s="24"/>
      <c r="K468" s="69"/>
    </row>
    <row r="469" spans="7:11" x14ac:dyDescent="0.2">
      <c r="G469" s="48"/>
      <c r="H469" s="48"/>
      <c r="I469" s="49"/>
      <c r="J469" s="24"/>
      <c r="K469" s="69"/>
    </row>
    <row r="470" spans="7:11" x14ac:dyDescent="0.2">
      <c r="G470" s="48"/>
      <c r="H470" s="48"/>
      <c r="I470" s="49"/>
      <c r="J470" s="24"/>
      <c r="K470" s="69"/>
    </row>
    <row r="471" spans="7:11" x14ac:dyDescent="0.2">
      <c r="G471" s="48"/>
      <c r="H471" s="48"/>
      <c r="I471" s="49"/>
      <c r="J471" s="24"/>
      <c r="K471" s="69"/>
    </row>
    <row r="472" spans="7:11" x14ac:dyDescent="0.2">
      <c r="G472" s="48"/>
      <c r="H472" s="48"/>
      <c r="I472" s="49"/>
      <c r="J472" s="24"/>
      <c r="K472" s="69"/>
    </row>
    <row r="473" spans="7:11" x14ac:dyDescent="0.2">
      <c r="G473" s="48"/>
      <c r="H473" s="48"/>
      <c r="I473" s="49"/>
      <c r="J473" s="24"/>
      <c r="K473" s="69"/>
    </row>
    <row r="474" spans="7:11" x14ac:dyDescent="0.2">
      <c r="G474" s="48"/>
      <c r="H474" s="48"/>
      <c r="I474" s="49"/>
      <c r="J474" s="24"/>
      <c r="K474" s="69"/>
    </row>
    <row r="475" spans="7:11" x14ac:dyDescent="0.2">
      <c r="G475" s="48"/>
      <c r="H475" s="48"/>
      <c r="I475" s="49"/>
      <c r="J475" s="24"/>
      <c r="K475" s="69"/>
    </row>
    <row r="476" spans="7:11" x14ac:dyDescent="0.2">
      <c r="G476" s="48"/>
      <c r="H476" s="48"/>
      <c r="I476" s="49"/>
      <c r="J476" s="24"/>
      <c r="K476" s="69"/>
    </row>
    <row r="477" spans="7:11" x14ac:dyDescent="0.2">
      <c r="G477" s="48"/>
      <c r="H477" s="48"/>
      <c r="I477" s="49"/>
      <c r="J477" s="24"/>
      <c r="K477" s="69"/>
    </row>
    <row r="478" spans="7:11" x14ac:dyDescent="0.2">
      <c r="G478" s="48"/>
      <c r="H478" s="48"/>
      <c r="I478" s="49"/>
      <c r="J478" s="24"/>
      <c r="K478" s="69"/>
    </row>
    <row r="479" spans="7:11" x14ac:dyDescent="0.2">
      <c r="G479" s="48"/>
      <c r="H479" s="48"/>
      <c r="I479" s="49"/>
      <c r="J479" s="24"/>
      <c r="K479" s="69"/>
    </row>
    <row r="480" spans="7:11" x14ac:dyDescent="0.2">
      <c r="G480" s="48"/>
      <c r="H480" s="48"/>
      <c r="I480" s="49"/>
      <c r="J480" s="24"/>
      <c r="K480" s="69"/>
    </row>
    <row r="481" spans="7:11" x14ac:dyDescent="0.2">
      <c r="G481" s="48"/>
      <c r="H481" s="48"/>
      <c r="I481" s="49"/>
      <c r="J481" s="24"/>
      <c r="K481" s="69"/>
    </row>
    <row r="482" spans="7:11" x14ac:dyDescent="0.2">
      <c r="G482" s="48"/>
      <c r="H482" s="48"/>
      <c r="I482" s="49"/>
      <c r="J482" s="24"/>
      <c r="K482" s="69"/>
    </row>
    <row r="483" spans="7:11" x14ac:dyDescent="0.2">
      <c r="G483" s="48"/>
      <c r="H483" s="48"/>
      <c r="I483" s="49"/>
      <c r="J483" s="24"/>
      <c r="K483" s="69"/>
    </row>
    <row r="484" spans="7:11" x14ac:dyDescent="0.2">
      <c r="G484" s="48"/>
      <c r="H484" s="48"/>
      <c r="I484" s="49"/>
      <c r="J484" s="24"/>
      <c r="K484" s="69"/>
    </row>
    <row r="485" spans="7:11" x14ac:dyDescent="0.2">
      <c r="G485" s="48"/>
      <c r="H485" s="48"/>
      <c r="I485" s="49"/>
      <c r="J485" s="24"/>
      <c r="K485" s="69"/>
    </row>
    <row r="486" spans="7:11" x14ac:dyDescent="0.2">
      <c r="G486" s="48"/>
      <c r="H486" s="48"/>
      <c r="I486" s="49"/>
      <c r="J486" s="24"/>
      <c r="K486" s="69"/>
    </row>
    <row r="487" spans="7:11" x14ac:dyDescent="0.2">
      <c r="G487" s="48"/>
      <c r="H487" s="48"/>
      <c r="I487" s="49"/>
      <c r="J487" s="24"/>
      <c r="K487" s="69"/>
    </row>
    <row r="488" spans="7:11" x14ac:dyDescent="0.2">
      <c r="G488" s="48"/>
      <c r="H488" s="48"/>
      <c r="I488" s="49"/>
      <c r="J488" s="24"/>
      <c r="K488" s="69"/>
    </row>
    <row r="489" spans="7:11" x14ac:dyDescent="0.2">
      <c r="G489" s="48"/>
      <c r="H489" s="48"/>
      <c r="I489" s="49"/>
      <c r="J489" s="24"/>
      <c r="K489" s="69"/>
    </row>
    <row r="490" spans="7:11" x14ac:dyDescent="0.2">
      <c r="G490" s="48"/>
      <c r="H490" s="48"/>
      <c r="I490" s="49"/>
      <c r="J490" s="24"/>
      <c r="K490" s="69"/>
    </row>
    <row r="491" spans="7:11" x14ac:dyDescent="0.2">
      <c r="G491" s="48"/>
      <c r="H491" s="48"/>
      <c r="I491" s="49"/>
      <c r="J491" s="24"/>
      <c r="K491" s="69"/>
    </row>
    <row r="492" spans="7:11" x14ac:dyDescent="0.2">
      <c r="G492" s="48"/>
      <c r="H492" s="48"/>
      <c r="I492" s="49"/>
      <c r="J492" s="24"/>
      <c r="K492" s="69"/>
    </row>
    <row r="493" spans="7:11" x14ac:dyDescent="0.2">
      <c r="G493" s="48"/>
      <c r="H493" s="48"/>
      <c r="I493" s="49"/>
      <c r="J493" s="24"/>
      <c r="K493" s="69"/>
    </row>
    <row r="494" spans="7:11" x14ac:dyDescent="0.2">
      <c r="G494" s="48"/>
      <c r="H494" s="48"/>
      <c r="I494" s="49"/>
      <c r="J494" s="24"/>
      <c r="K494" s="69"/>
    </row>
    <row r="495" spans="7:11" x14ac:dyDescent="0.2">
      <c r="G495" s="48"/>
      <c r="H495" s="48"/>
      <c r="I495" s="49"/>
      <c r="J495" s="24"/>
      <c r="K495" s="69"/>
    </row>
    <row r="496" spans="7:11" x14ac:dyDescent="0.2">
      <c r="G496" s="48"/>
      <c r="H496" s="48"/>
      <c r="I496" s="49"/>
      <c r="J496" s="24"/>
      <c r="K496" s="69"/>
    </row>
    <row r="497" spans="7:11" x14ac:dyDescent="0.2">
      <c r="G497" s="48"/>
      <c r="H497" s="48"/>
      <c r="I497" s="49"/>
      <c r="J497" s="24"/>
      <c r="K497" s="69"/>
    </row>
    <row r="498" spans="7:11" x14ac:dyDescent="0.2">
      <c r="G498" s="48"/>
      <c r="H498" s="48"/>
      <c r="I498" s="49"/>
      <c r="J498" s="24"/>
      <c r="K498" s="69"/>
    </row>
    <row r="499" spans="7:11" x14ac:dyDescent="0.2">
      <c r="G499" s="48"/>
      <c r="H499" s="48"/>
      <c r="I499" s="49"/>
      <c r="J499" s="24"/>
      <c r="K499" s="69"/>
    </row>
    <row r="500" spans="7:11" x14ac:dyDescent="0.2">
      <c r="G500" s="48"/>
      <c r="H500" s="48"/>
      <c r="I500" s="49"/>
      <c r="J500" s="24"/>
      <c r="K500" s="69"/>
    </row>
    <row r="501" spans="7:11" x14ac:dyDescent="0.2">
      <c r="G501" s="48"/>
      <c r="H501" s="48"/>
      <c r="I501" s="49"/>
      <c r="J501" s="24"/>
      <c r="K501" s="69"/>
    </row>
    <row r="502" spans="7:11" x14ac:dyDescent="0.2">
      <c r="G502" s="48"/>
      <c r="H502" s="48"/>
      <c r="I502" s="49"/>
      <c r="J502" s="24"/>
      <c r="K502" s="69"/>
    </row>
    <row r="503" spans="7:11" x14ac:dyDescent="0.2">
      <c r="G503" s="48"/>
      <c r="H503" s="48"/>
      <c r="I503" s="49"/>
      <c r="J503" s="24"/>
      <c r="K503" s="69"/>
    </row>
    <row r="504" spans="7:11" x14ac:dyDescent="0.2">
      <c r="G504" s="48"/>
      <c r="H504" s="48"/>
      <c r="I504" s="49"/>
      <c r="J504" s="24"/>
      <c r="K504" s="69"/>
    </row>
    <row r="505" spans="7:11" x14ac:dyDescent="0.2">
      <c r="G505" s="48"/>
      <c r="H505" s="48"/>
      <c r="I505" s="49"/>
      <c r="J505" s="24"/>
      <c r="K505" s="69"/>
    </row>
    <row r="506" spans="7:11" x14ac:dyDescent="0.2">
      <c r="G506" s="48"/>
      <c r="H506" s="48"/>
      <c r="I506" s="49"/>
      <c r="J506" s="24"/>
      <c r="K506" s="69"/>
    </row>
    <row r="507" spans="7:11" x14ac:dyDescent="0.2">
      <c r="G507" s="48"/>
      <c r="H507" s="48"/>
      <c r="I507" s="49"/>
      <c r="J507" s="24"/>
      <c r="K507" s="69"/>
    </row>
    <row r="508" spans="7:11" x14ac:dyDescent="0.2">
      <c r="G508" s="48"/>
      <c r="H508" s="48"/>
      <c r="I508" s="49"/>
      <c r="J508" s="24"/>
      <c r="K508" s="69"/>
    </row>
    <row r="509" spans="7:11" x14ac:dyDescent="0.2">
      <c r="G509" s="48"/>
      <c r="H509" s="48"/>
      <c r="I509" s="49"/>
      <c r="J509" s="24"/>
      <c r="K509" s="69"/>
    </row>
    <row r="510" spans="7:11" x14ac:dyDescent="0.2">
      <c r="G510" s="48"/>
      <c r="H510" s="48"/>
      <c r="I510" s="49"/>
      <c r="J510" s="24"/>
      <c r="K510" s="69"/>
    </row>
    <row r="511" spans="7:11" x14ac:dyDescent="0.2">
      <c r="G511" s="48"/>
      <c r="H511" s="48"/>
      <c r="I511" s="49"/>
      <c r="J511" s="24"/>
      <c r="K511" s="69"/>
    </row>
    <row r="512" spans="7:11" x14ac:dyDescent="0.2">
      <c r="G512" s="48"/>
      <c r="H512" s="48"/>
      <c r="I512" s="49"/>
      <c r="J512" s="24"/>
      <c r="K512" s="69"/>
    </row>
    <row r="513" spans="7:11" x14ac:dyDescent="0.2">
      <c r="G513" s="48"/>
      <c r="H513" s="48"/>
      <c r="I513" s="49"/>
      <c r="J513" s="24"/>
      <c r="K513" s="69"/>
    </row>
    <row r="514" spans="7:11" x14ac:dyDescent="0.2">
      <c r="G514" s="48"/>
      <c r="H514" s="48"/>
      <c r="I514" s="49"/>
      <c r="J514" s="24"/>
      <c r="K514" s="69"/>
    </row>
    <row r="515" spans="7:11" x14ac:dyDescent="0.2">
      <c r="G515" s="48"/>
      <c r="H515" s="48"/>
      <c r="I515" s="49"/>
      <c r="J515" s="24"/>
      <c r="K515" s="69"/>
    </row>
    <row r="516" spans="7:11" x14ac:dyDescent="0.2">
      <c r="G516" s="48"/>
      <c r="H516" s="48"/>
      <c r="I516" s="49"/>
      <c r="J516" s="24"/>
      <c r="K516" s="69"/>
    </row>
    <row r="517" spans="7:11" x14ac:dyDescent="0.2">
      <c r="G517" s="48"/>
      <c r="H517" s="48"/>
      <c r="I517" s="49"/>
      <c r="J517" s="24"/>
      <c r="K517" s="69"/>
    </row>
    <row r="518" spans="7:11" x14ac:dyDescent="0.2">
      <c r="G518" s="48"/>
      <c r="H518" s="48"/>
      <c r="I518" s="49"/>
      <c r="J518" s="24"/>
      <c r="K518" s="69"/>
    </row>
    <row r="519" spans="7:11" x14ac:dyDescent="0.2">
      <c r="G519" s="48"/>
      <c r="H519" s="48"/>
      <c r="I519" s="49"/>
      <c r="J519" s="24"/>
      <c r="K519" s="69"/>
    </row>
    <row r="520" spans="7:11" x14ac:dyDescent="0.2">
      <c r="G520" s="48"/>
      <c r="H520" s="48"/>
      <c r="I520" s="49"/>
      <c r="J520" s="24"/>
      <c r="K520" s="69"/>
    </row>
    <row r="521" spans="7:11" x14ac:dyDescent="0.2">
      <c r="G521" s="48"/>
      <c r="H521" s="48"/>
      <c r="I521" s="49"/>
      <c r="J521" s="24"/>
      <c r="K521" s="69"/>
    </row>
    <row r="522" spans="7:11" x14ac:dyDescent="0.2">
      <c r="G522" s="48"/>
      <c r="H522" s="48"/>
      <c r="I522" s="49"/>
      <c r="J522" s="24"/>
      <c r="K522" s="69"/>
    </row>
    <row r="523" spans="7:11" x14ac:dyDescent="0.2">
      <c r="G523" s="48"/>
      <c r="H523" s="48"/>
      <c r="I523" s="49"/>
      <c r="J523" s="24"/>
      <c r="K523" s="69"/>
    </row>
    <row r="524" spans="7:11" x14ac:dyDescent="0.2">
      <c r="G524" s="48"/>
      <c r="H524" s="48"/>
      <c r="I524" s="49"/>
      <c r="J524" s="24"/>
      <c r="K524" s="69"/>
    </row>
    <row r="525" spans="7:11" x14ac:dyDescent="0.2">
      <c r="G525" s="48"/>
      <c r="H525" s="48"/>
      <c r="I525" s="49"/>
      <c r="J525" s="24"/>
      <c r="K525" s="69"/>
    </row>
    <row r="526" spans="7:11" x14ac:dyDescent="0.2">
      <c r="G526" s="48"/>
      <c r="H526" s="48"/>
      <c r="I526" s="49"/>
      <c r="J526" s="24"/>
      <c r="K526" s="69"/>
    </row>
    <row r="527" spans="7:11" x14ac:dyDescent="0.2">
      <c r="G527" s="48"/>
      <c r="H527" s="48"/>
      <c r="I527" s="49"/>
      <c r="J527" s="24"/>
      <c r="K527" s="69"/>
    </row>
    <row r="528" spans="7:11" x14ac:dyDescent="0.2">
      <c r="G528" s="48"/>
      <c r="H528" s="48"/>
      <c r="I528" s="49"/>
      <c r="J528" s="24"/>
      <c r="K528" s="69"/>
    </row>
    <row r="529" spans="7:11" x14ac:dyDescent="0.2">
      <c r="G529" s="48"/>
      <c r="H529" s="48"/>
      <c r="I529" s="49"/>
      <c r="J529" s="24"/>
      <c r="K529" s="69"/>
    </row>
    <row r="530" spans="7:11" x14ac:dyDescent="0.2">
      <c r="G530" s="48"/>
      <c r="H530" s="48"/>
      <c r="I530" s="49"/>
      <c r="J530" s="24"/>
      <c r="K530" s="69"/>
    </row>
    <row r="531" spans="7:11" x14ac:dyDescent="0.2">
      <c r="G531" s="48"/>
      <c r="H531" s="48"/>
      <c r="I531" s="49"/>
      <c r="J531" s="24"/>
      <c r="K531" s="69"/>
    </row>
    <row r="532" spans="7:11" x14ac:dyDescent="0.2">
      <c r="G532" s="48"/>
      <c r="H532" s="48"/>
      <c r="I532" s="49"/>
      <c r="J532" s="24"/>
      <c r="K532" s="69"/>
    </row>
  </sheetData>
  <conditionalFormatting sqref="B1:B1048576">
    <cfRule type="containsText" dxfId="7" priority="1" operator="containsText" text="Other">
      <formula>NOT(ISERROR(SEARCH("Other",B1)))</formula>
    </cfRule>
    <cfRule type="containsText" dxfId="6" priority="2" operator="containsText" text="Villagers">
      <formula>NOT(ISERROR(SEARCH("Villagers",B1)))</formula>
    </cfRule>
    <cfRule type="containsText" dxfId="5" priority="3" operator="containsText" text="chest">
      <formula>NOT(ISERROR(SEARCH("chest",B1)))</formula>
    </cfRule>
    <cfRule type="containsText" dxfId="4" priority="4" operator="containsText" text="Runes">
      <formula>NOT(ISERROR(SEARCH("Runes",B1)))</formula>
    </cfRule>
    <cfRule type="containsText" dxfId="3" priority="5" operator="containsText" text="OT_Harvestables">
      <formula>NOT(ISERROR(SEARCH("OT_Harvestables",B1)))</formula>
    </cfRule>
    <cfRule type="containsText" dxfId="2" priority="6" operator="containsText" text="Harvestables">
      <formula>NOT(ISERROR(SEARCH("Harvestables",B1)))</formula>
    </cfRule>
    <cfRule type="containsText" dxfId="1" priority="7" operator="containsText" text="Currency">
      <formula>NOT(ISERROR(SEARCH("Currency",B1)))</formula>
    </cfRule>
    <cfRule type="containsText" dxfId="0" priority="8" operator="containsText" text="Basic_Towers">
      <formula>NOT(ISERROR(SEARCH("Basic_Towers",B1)))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Wynne Chyou</dc:creator>
  <cp:lastModifiedBy>Wynne Chyou</cp:lastModifiedBy>
  <dcterms:created xsi:type="dcterms:W3CDTF">2026-04-09T01:06:37Z</dcterms:created>
  <dcterms:modified xsi:type="dcterms:W3CDTF">2026-04-10T01:36:16Z</dcterms:modified>
</cp:coreProperties>
</file>